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8.2.2 Năm 2026\2. Sở Công Thương\2. Báo cáo Tháng của ngành\Năm 2026\Báo cáo tháng - quý\Tháng 5\"/>
    </mc:Choice>
  </mc:AlternateContent>
  <xr:revisionPtr revIDLastSave="0" documentId="8_{084CD26C-0060-4F8C-90CE-B529649CD737}" xr6:coauthVersionLast="47" xr6:coauthVersionMax="47" xr10:uidLastSave="{00000000-0000-0000-0000-000000000000}"/>
  <bookViews>
    <workbookView xWindow="0" yWindow="0" windowWidth="9600" windowHeight="10200" tabRatio="785" xr2:uid="{00000000-000D-0000-FFFF-FFFF00000000}"/>
  </bookViews>
  <sheets>
    <sheet name="Tổng mức" sheetId="75" r:id="rId1"/>
    <sheet name="DT bán lẻ" sheetId="68" r:id="rId2"/>
  </sheets>
  <definedNames>
    <definedName name="_xlnm.Print_Area" localSheetId="1">'DT bán lẻ'!$A$1:$F$22</definedName>
    <definedName name="_xlnm.Print_Area" localSheetId="0">'Tổng mức'!$A$1:$F$14</definedName>
    <definedName name="_xlnm.Print_Titles" localSheetId="1">'DT bán lẻ'!$3:$7</definedName>
  </definedNames>
  <calcPr calcId="181029"/>
</workbook>
</file>

<file path=xl/calcChain.xml><?xml version="1.0" encoding="utf-8"?>
<calcChain xmlns="http://schemas.openxmlformats.org/spreadsheetml/2006/main">
  <c r="F16" i="75" l="1"/>
  <c r="I9" i="75"/>
  <c r="I10" i="75"/>
  <c r="I11" i="75"/>
  <c r="I12" i="75"/>
  <c r="I13" i="75"/>
  <c r="I8" i="75"/>
  <c r="D8" i="75"/>
  <c r="C8" i="75"/>
  <c r="B8" i="75"/>
</calcChain>
</file>

<file path=xl/sharedStrings.xml><?xml version="1.0" encoding="utf-8"?>
<sst xmlns="http://schemas.openxmlformats.org/spreadsheetml/2006/main" count="34" uniqueCount="28">
  <si>
    <t>5. Tổng mức bán lẻ hàng hóa và doanh thu dịch vụ tiêu dùng tháng 5 năm 2026</t>
  </si>
  <si>
    <t>Đơn vị tính: Triệu đồng</t>
  </si>
  <si>
    <t xml:space="preserve">Thực hiện
tháng 4
năm 2026
</t>
  </si>
  <si>
    <t xml:space="preserve">Dự tính
tháng 5
năm 2026
</t>
  </si>
  <si>
    <t xml:space="preserve">Cộng dồn
từ đầu năm
đến cuối
tháng 5
năm 2026
</t>
  </si>
  <si>
    <t>Tháng 5/2026 so với tháng 5/2025 (%)</t>
  </si>
  <si>
    <t>Lũy kế đến cuối tháng
5/2026
 so với cùng kỳ
(%)</t>
  </si>
  <si>
    <t>Tổng số</t>
  </si>
  <si>
    <t>Bán lẻ hàng hóa</t>
  </si>
  <si>
    <t>Dịch vụ lưu trú</t>
  </si>
  <si>
    <t>Dịch vụ ăn uống</t>
  </si>
  <si>
    <t>Dịch vụ lữ hành và hoạt động hỗ trợ du lịch</t>
  </si>
  <si>
    <t>Dịch vụ khác</t>
  </si>
  <si>
    <t>6. Doanh thu bán lẻ hàng hóa tháng 5 năm 2026</t>
  </si>
  <si>
    <t>Tháng
5/2026
so với
tháng
5/2025
(%)</t>
  </si>
  <si>
    <t>Phân theo nhóm ngành hàng</t>
  </si>
  <si>
    <t>1. Lương thực, thực phẩm</t>
  </si>
  <si>
    <t>2. Hàng may mặc</t>
  </si>
  <si>
    <t>3. Đồ dùng, dụng cụ, trang thiết bị gia đình</t>
  </si>
  <si>
    <t>4. Vật phẩm văn hóa, giáo dục</t>
  </si>
  <si>
    <t>5. Gỗ và vật liệu xây dựng</t>
  </si>
  <si>
    <t>6. Ô tô con (dưới 9 chỗ ngồi)</t>
  </si>
  <si>
    <t>7. Phương tiện đi lại (trừ ô tô, kể cả phụ tùng)</t>
  </si>
  <si>
    <t>8. Xăng, dầu các loại</t>
  </si>
  <si>
    <t>9. Nhiên liệu khác (trừ xăng, dầu)</t>
  </si>
  <si>
    <t>10. Đá quý, kim loại quý và sản phẩm</t>
  </si>
  <si>
    <t>11. Hàng hóa khác</t>
  </si>
  <si>
    <t>12. Sửa chữa xe có động cơ, mô tô, xe máy 
     và xe có động cơ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</si>
</sst>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5" formatCode="_-* #,##0\ _P_t_s_-;\-* #,##0\ _P_t_s_-;_-* &quot;-&quot;\ _P_t_s_-;_-@_-"/>
    <numFmt numFmtId="166" formatCode="_(* #,##0_);_(* \(#,##0\);_(* &quot;-&quot;??_);_(@_)"/>
    <numFmt numFmtId="167" formatCode="_(* #,##0.0_);_(* \(#,##0.0\);_(* &quot;-&quot;??_);_(@_)"/>
    <numFmt numFmtId="168" formatCode="_(* #,##0.0_);_(* \(#,##0.0\);_(* &quot;-&quot;?_);_(@_)"/>
    <numFmt numFmtId="169" formatCode="_(* #,##0.00_);_(* \(#,##0.00\);_(* &quot;&quot;&quot;&quot;\-&quot;&quot;&quot;&quot;_);_(@_)"/>
    <numFmt numFmtId="170" formatCode="_(* #,##0_);_(* \(#,##0\);_(* &quot;&quot;&quot;&quot;\-&quot;&quot;&quot;&quot;_);_(@_)"/>
  </numFmts>
  <fonts count="23">
    <font>
      <sz val="10"/>
      <name val="Arial"/>
      <charset val="134"/>
    </font>
    <font>
      <sz val="11"/>
      <name val="Times New Roman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b/>
      <sz val="15"/>
      <name val="Times New Roman"/>
      <charset val="134"/>
    </font>
    <font>
      <i/>
      <sz val="11"/>
      <color theme="1"/>
      <name val="Times New Roman"/>
      <charset val="134"/>
    </font>
    <font>
      <b/>
      <sz val="11"/>
      <name val="Times New Roman"/>
      <charset val="134"/>
    </font>
    <font>
      <b/>
      <sz val="10"/>
      <name val="Times New Roman"/>
      <charset val="134"/>
    </font>
    <font>
      <b/>
      <sz val="10"/>
      <color theme="1"/>
      <name val="Times New Roman"/>
      <charset val="134"/>
    </font>
    <font>
      <i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12"/>
      <name val=".VnTime"/>
      <charset val="134"/>
    </font>
    <font>
      <sz val="8"/>
      <name val="MS Sans Serif"/>
      <charset val="134"/>
    </font>
    <font>
      <sz val="10"/>
      <name val=".VnArial"/>
      <charset val="134"/>
    </font>
    <font>
      <sz val="13"/>
      <color theme="1"/>
      <name val=".VnTime"/>
      <charset val="134"/>
    </font>
    <font>
      <sz val="11"/>
      <color rgb="FF000000"/>
      <name val="Calibri"/>
      <charset val="134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3">
    <xf numFmtId="0" fontId="0" fillId="0" borderId="0"/>
    <xf numFmtId="43" fontId="13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0" applyAlignment="0">
      <alignment vertical="top" wrapText="1"/>
      <protection locked="0"/>
    </xf>
    <xf numFmtId="41" fontId="17" fillId="0" borderId="0"/>
    <xf numFmtId="0" fontId="13" fillId="0" borderId="0"/>
    <xf numFmtId="0" fontId="13" fillId="0" borderId="0"/>
    <xf numFmtId="0" fontId="18" fillId="0" borderId="0"/>
    <xf numFmtId="0" fontId="19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0" xfId="9" applyFont="1" applyAlignment="1">
      <alignment vertical="center"/>
    </xf>
    <xf numFmtId="0" fontId="3" fillId="0" borderId="0" xfId="0" applyFont="1" applyAlignment="1">
      <alignment vertical="center"/>
    </xf>
    <xf numFmtId="166" fontId="1" fillId="0" borderId="0" xfId="1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3" fontId="7" fillId="0" borderId="0" xfId="1" applyNumberFormat="1" applyFont="1" applyFill="1" applyBorder="1" applyAlignment="1">
      <alignment horizontal="left" vertical="center" indent="1"/>
    </xf>
    <xf numFmtId="4" fontId="8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right" vertical="center" indent="1"/>
    </xf>
    <xf numFmtId="0" fontId="1" fillId="0" borderId="0" xfId="0" applyFont="1" applyAlignment="1">
      <alignment vertical="center" wrapText="1"/>
    </xf>
    <xf numFmtId="0" fontId="2" fillId="0" borderId="2" xfId="9" applyFont="1" applyBorder="1" applyAlignment="1">
      <alignment vertical="center"/>
    </xf>
    <xf numFmtId="3" fontId="10" fillId="0" borderId="0" xfId="0" applyNumberFormat="1" applyFont="1" applyAlignment="1">
      <alignment horizontal="right" vertical="center" indent="1" shrinkToFit="1"/>
    </xf>
    <xf numFmtId="2" fontId="10" fillId="0" borderId="0" xfId="0" applyNumberFormat="1" applyFont="1" applyAlignment="1">
      <alignment horizontal="right" vertical="center" indent="1" shrinkToFit="1"/>
    </xf>
    <xf numFmtId="2" fontId="1" fillId="0" borderId="0" xfId="0" applyNumberFormat="1" applyFont="1" applyAlignment="1">
      <alignment vertical="center"/>
    </xf>
    <xf numFmtId="3" fontId="11" fillId="0" borderId="0" xfId="0" applyNumberFormat="1" applyFont="1" applyAlignment="1">
      <alignment horizontal="center" vertical="center" wrapText="1"/>
    </xf>
    <xf numFmtId="4" fontId="11" fillId="0" borderId="0" xfId="1" applyNumberFormat="1" applyFont="1" applyFill="1" applyBorder="1" applyAlignment="1">
      <alignment horizontal="right" vertical="center" wrapText="1" indent="1"/>
    </xf>
    <xf numFmtId="3" fontId="12" fillId="0" borderId="0" xfId="1" applyNumberFormat="1" applyFont="1" applyFill="1" applyBorder="1" applyAlignment="1">
      <alignment horizontal="center" vertical="center" shrinkToFit="1"/>
    </xf>
    <xf numFmtId="4" fontId="12" fillId="0" borderId="0" xfId="1" applyNumberFormat="1" applyFont="1" applyFill="1" applyBorder="1" applyAlignment="1">
      <alignment horizontal="right" vertical="center" indent="1" shrinkToFit="1"/>
    </xf>
    <xf numFmtId="3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169" fontId="3" fillId="0" borderId="0" xfId="0" applyNumberFormat="1" applyFont="1" applyAlignment="1">
      <alignment vertical="center"/>
    </xf>
    <xf numFmtId="170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1" fillId="0" borderId="1" xfId="1" applyNumberFormat="1" applyFont="1" applyBorder="1" applyAlignment="1">
      <alignment horizontal="center" vertical="center"/>
    </xf>
    <xf numFmtId="166" fontId="1" fillId="0" borderId="0" xfId="1" applyNumberFormat="1" applyFont="1" applyBorder="1" applyAlignment="1">
      <alignment horizontal="center" vertical="center"/>
    </xf>
    <xf numFmtId="166" fontId="1" fillId="0" borderId="1" xfId="1" applyNumberFormat="1" applyFont="1" applyBorder="1" applyAlignment="1">
      <alignment horizontal="center" vertical="center" wrapText="1"/>
    </xf>
    <xf numFmtId="166" fontId="1" fillId="0" borderId="0" xfId="1" applyNumberFormat="1" applyFont="1" applyBorder="1" applyAlignment="1">
      <alignment horizontal="center" vertical="center" wrapText="1"/>
    </xf>
    <xf numFmtId="166" fontId="1" fillId="0" borderId="2" xfId="1" applyNumberFormat="1" applyFont="1" applyBorder="1" applyAlignment="1">
      <alignment horizontal="center" vertical="center" wrapText="1"/>
    </xf>
    <xf numFmtId="167" fontId="1" fillId="0" borderId="1" xfId="1" applyNumberFormat="1" applyFont="1" applyBorder="1" applyAlignment="1">
      <alignment horizontal="center" vertical="center" wrapText="1"/>
    </xf>
    <xf numFmtId="167" fontId="1" fillId="0" borderId="0" xfId="1" applyNumberFormat="1" applyFont="1" applyBorder="1" applyAlignment="1">
      <alignment horizontal="center" vertical="center" wrapText="1"/>
    </xf>
    <xf numFmtId="167" fontId="1" fillId="0" borderId="2" xfId="1" applyNumberFormat="1" applyFont="1" applyBorder="1" applyAlignment="1">
      <alignment horizontal="center" vertical="center" wrapText="1"/>
    </xf>
    <xf numFmtId="166" fontId="6" fillId="0" borderId="1" xfId="1" applyNumberFormat="1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center" vertical="center"/>
    </xf>
    <xf numFmtId="10" fontId="1" fillId="0" borderId="0" xfId="2" applyNumberFormat="1" applyFont="1" applyAlignment="1">
      <alignment vertical="center"/>
    </xf>
    <xf numFmtId="3" fontId="20" fillId="0" borderId="0" xfId="0" applyNumberFormat="1" applyFont="1" applyAlignment="1">
      <alignment horizontal="right" vertical="center" indent="1" shrinkToFit="1"/>
    </xf>
    <xf numFmtId="3" fontId="21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center" vertical="center" wrapText="1"/>
    </xf>
    <xf numFmtId="3" fontId="21" fillId="0" borderId="0" xfId="1" applyNumberFormat="1" applyFont="1" applyFill="1" applyBorder="1" applyAlignment="1">
      <alignment horizontal="center" vertical="center" shrinkToFit="1"/>
    </xf>
    <xf numFmtId="2" fontId="20" fillId="0" borderId="0" xfId="0" applyNumberFormat="1" applyFont="1" applyAlignment="1">
      <alignment horizontal="right" vertical="center" indent="1" shrinkToFit="1"/>
    </xf>
    <xf numFmtId="4" fontId="21" fillId="0" borderId="0" xfId="1" applyNumberFormat="1" applyFont="1" applyFill="1" applyBorder="1" applyAlignment="1">
      <alignment horizontal="right" vertical="center" wrapText="1" indent="1"/>
    </xf>
    <xf numFmtId="4" fontId="21" fillId="0" borderId="0" xfId="1" applyNumberFormat="1" applyFont="1" applyFill="1" applyBorder="1" applyAlignment="1">
      <alignment horizontal="right" vertical="center" indent="1" shrinkToFit="1"/>
    </xf>
    <xf numFmtId="0" fontId="22" fillId="0" borderId="2" xfId="9" applyFont="1" applyBorder="1" applyAlignment="1">
      <alignment vertical="center"/>
    </xf>
    <xf numFmtId="0" fontId="22" fillId="0" borderId="0" xfId="0" applyFont="1" applyAlignment="1">
      <alignment vertical="center"/>
    </xf>
  </cellXfs>
  <cellStyles count="13">
    <cellStyle name="Comma" xfId="1" builtinId="3"/>
    <cellStyle name="Comma [0] 2" xfId="3" xr:uid="{00000000-0005-0000-0000-000031000000}"/>
    <cellStyle name="Comma [0] 3" xfId="4" xr:uid="{00000000-0005-0000-0000-000032000000}"/>
    <cellStyle name="Comma 2" xfId="5" xr:uid="{00000000-0005-0000-0000-000033000000}"/>
    <cellStyle name="Comma 3" xfId="6" xr:uid="{00000000-0005-0000-0000-000034000000}"/>
    <cellStyle name="Normal" xfId="0" builtinId="0"/>
    <cellStyle name="Normal 2" xfId="7" xr:uid="{00000000-0005-0000-0000-000035000000}"/>
    <cellStyle name="Normal 2 4" xfId="8" xr:uid="{00000000-0005-0000-0000-000036000000}"/>
    <cellStyle name="Normal 2 5" xfId="9" xr:uid="{00000000-0005-0000-0000-000037000000}"/>
    <cellStyle name="Normal 3" xfId="10" xr:uid="{00000000-0005-0000-0000-000038000000}"/>
    <cellStyle name="Normal 4" xfId="11" xr:uid="{00000000-0005-0000-0000-000039000000}"/>
    <cellStyle name="Normal 5" xfId="12" xr:uid="{00000000-0005-0000-0000-00003A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70" zoomScaleNormal="70" workbookViewId="0">
      <selection activeCell="D13" sqref="D13"/>
    </sheetView>
  </sheetViews>
  <sheetFormatPr defaultColWidth="9.08984375" defaultRowHeight="13"/>
  <cols>
    <col min="1" max="1" width="38.36328125" style="3" customWidth="1"/>
    <col min="2" max="2" width="13.81640625" style="3" customWidth="1"/>
    <col min="3" max="3" width="14.81640625" style="3" customWidth="1"/>
    <col min="4" max="4" width="12.6328125" style="3" customWidth="1"/>
    <col min="5" max="5" width="10.08984375" style="3" customWidth="1"/>
    <col min="6" max="6" width="13.54296875" style="3" customWidth="1"/>
    <col min="7" max="7" width="9.08984375" style="3"/>
    <col min="8" max="8" width="5.453125" style="3" customWidth="1"/>
    <col min="9" max="9" width="13.08984375" style="3" customWidth="1"/>
    <col min="10" max="16384" width="9.08984375" style="3"/>
  </cols>
  <sheetData>
    <row r="1" spans="1:12" ht="33.75" customHeight="1">
      <c r="A1" s="27" t="s">
        <v>0</v>
      </c>
      <c r="B1" s="27"/>
      <c r="C1" s="27"/>
      <c r="D1" s="27"/>
      <c r="E1" s="27"/>
      <c r="F1" s="27"/>
    </row>
    <row r="2" spans="1:12" s="1" customFormat="1" ht="15.75" customHeight="1">
      <c r="A2" s="4"/>
      <c r="B2" s="4"/>
      <c r="C2" s="4"/>
      <c r="D2" s="4"/>
      <c r="F2" s="5" t="s">
        <v>1</v>
      </c>
    </row>
    <row r="3" spans="1:12" s="1" customFormat="1" ht="12" customHeight="1">
      <c r="A3" s="28"/>
      <c r="B3" s="30" t="s">
        <v>2</v>
      </c>
      <c r="C3" s="30" t="s">
        <v>3</v>
      </c>
      <c r="D3" s="30" t="s">
        <v>4</v>
      </c>
      <c r="E3" s="33" t="s">
        <v>5</v>
      </c>
      <c r="F3" s="33" t="s">
        <v>6</v>
      </c>
    </row>
    <row r="4" spans="1:12" s="1" customFormat="1" ht="12" customHeight="1">
      <c r="A4" s="29"/>
      <c r="B4" s="31"/>
      <c r="C4" s="31"/>
      <c r="D4" s="31"/>
      <c r="E4" s="34"/>
      <c r="F4" s="34"/>
    </row>
    <row r="5" spans="1:12" s="1" customFormat="1" ht="12" customHeight="1">
      <c r="A5" s="29"/>
      <c r="B5" s="31"/>
      <c r="C5" s="31"/>
      <c r="D5" s="31"/>
      <c r="E5" s="34"/>
      <c r="F5" s="34"/>
    </row>
    <row r="6" spans="1:12" s="1" customFormat="1" ht="12" customHeight="1">
      <c r="A6" s="29"/>
      <c r="B6" s="31"/>
      <c r="C6" s="31"/>
      <c r="D6" s="31"/>
      <c r="E6" s="34"/>
      <c r="F6" s="34"/>
    </row>
    <row r="7" spans="1:12" s="1" customFormat="1" ht="42" customHeight="1">
      <c r="A7" s="29"/>
      <c r="B7" s="32"/>
      <c r="C7" s="32"/>
      <c r="D7" s="32"/>
      <c r="E7" s="35"/>
      <c r="F7" s="35"/>
    </row>
    <row r="8" spans="1:12" s="1" customFormat="1" ht="20.149999999999999" customHeight="1">
      <c r="A8" s="6" t="s">
        <v>7</v>
      </c>
      <c r="B8" s="16">
        <f>B9+B10+B11+B12+B13</f>
        <v>19222077.219999999</v>
      </c>
      <c r="C8" s="16">
        <f>C9+C10+C11+C12+C13</f>
        <v>19372614.010000002</v>
      </c>
      <c r="D8" s="39">
        <f>D9+D10+D11+D12+D13</f>
        <v>94236861.650000006</v>
      </c>
      <c r="E8" s="17">
        <v>118.85832575566501</v>
      </c>
      <c r="F8" s="43">
        <v>117.006349698573</v>
      </c>
      <c r="G8" s="18"/>
      <c r="H8" s="18"/>
      <c r="I8" s="38">
        <f>C8/B8</f>
        <v>1.007831452775737</v>
      </c>
      <c r="K8" s="18"/>
      <c r="L8" s="18"/>
    </row>
    <row r="9" spans="1:12" s="1" customFormat="1" ht="21.75" customHeight="1">
      <c r="A9" s="1" t="s">
        <v>8</v>
      </c>
      <c r="B9" s="19">
        <v>12739299.9</v>
      </c>
      <c r="C9" s="19">
        <v>12990725.380000001</v>
      </c>
      <c r="D9" s="40">
        <v>62412608.789999999</v>
      </c>
      <c r="E9" s="20">
        <v>121.22591824011801</v>
      </c>
      <c r="F9" s="44">
        <v>117.062925794444</v>
      </c>
      <c r="G9" s="18"/>
      <c r="H9" s="18"/>
      <c r="I9" s="38">
        <f t="shared" ref="I9:I13" si="0">C9/B9</f>
        <v>1.0197362085808186</v>
      </c>
      <c r="K9" s="18"/>
      <c r="L9" s="18"/>
    </row>
    <row r="10" spans="1:12" s="1" customFormat="1" ht="21.75" customHeight="1">
      <c r="A10" s="1" t="s">
        <v>9</v>
      </c>
      <c r="B10" s="19">
        <v>68886.47</v>
      </c>
      <c r="C10" s="19">
        <v>68952</v>
      </c>
      <c r="D10" s="41">
        <v>345391.86</v>
      </c>
      <c r="E10" s="20">
        <v>117.33944150088</v>
      </c>
      <c r="F10" s="44">
        <v>122.199766512986</v>
      </c>
      <c r="G10" s="18"/>
      <c r="H10" s="18"/>
      <c r="I10" s="38">
        <f t="shared" si="0"/>
        <v>1.0009512753375227</v>
      </c>
      <c r="K10" s="18"/>
      <c r="L10" s="18"/>
    </row>
    <row r="11" spans="1:12" s="1" customFormat="1" ht="21.75" customHeight="1">
      <c r="A11" s="1" t="s">
        <v>10</v>
      </c>
      <c r="B11" s="19">
        <v>2369380.69</v>
      </c>
      <c r="C11" s="19">
        <v>2375105.96</v>
      </c>
      <c r="D11" s="41">
        <v>11760712.02</v>
      </c>
      <c r="E11" s="20">
        <v>113.80958306773</v>
      </c>
      <c r="F11" s="44">
        <v>110.71821909997701</v>
      </c>
      <c r="G11" s="18"/>
      <c r="H11" s="18"/>
      <c r="I11" s="38">
        <f t="shared" si="0"/>
        <v>1.0024163571620903</v>
      </c>
      <c r="K11" s="18"/>
      <c r="L11" s="18"/>
    </row>
    <row r="12" spans="1:12" s="1" customFormat="1" ht="20.25" customHeight="1">
      <c r="A12" s="1" t="s">
        <v>11</v>
      </c>
      <c r="B12" s="19">
        <v>19124.86</v>
      </c>
      <c r="C12" s="19">
        <v>19045.87</v>
      </c>
      <c r="D12" s="41">
        <v>93593.37</v>
      </c>
      <c r="E12" s="20">
        <v>142.32730571659599</v>
      </c>
      <c r="F12" s="44">
        <v>153.48930000477199</v>
      </c>
      <c r="G12" s="18"/>
      <c r="H12" s="18"/>
      <c r="I12" s="38">
        <f t="shared" si="0"/>
        <v>0.99586977368723217</v>
      </c>
      <c r="K12" s="18"/>
      <c r="L12" s="18"/>
    </row>
    <row r="13" spans="1:12" s="1" customFormat="1" ht="20.25" customHeight="1">
      <c r="A13" s="1" t="s">
        <v>12</v>
      </c>
      <c r="B13" s="21">
        <v>4025385.3</v>
      </c>
      <c r="C13" s="21">
        <v>3918784.8</v>
      </c>
      <c r="D13" s="42">
        <v>19624555.609999999</v>
      </c>
      <c r="E13" s="22">
        <v>114.459626161484</v>
      </c>
      <c r="F13" s="45">
        <v>120.70190369328</v>
      </c>
      <c r="G13" s="18"/>
      <c r="H13" s="18"/>
      <c r="I13" s="38">
        <f t="shared" si="0"/>
        <v>0.9735179387672529</v>
      </c>
      <c r="K13" s="18"/>
      <c r="L13" s="18"/>
    </row>
    <row r="14" spans="1:12" s="2" customFormat="1">
      <c r="A14" s="15"/>
      <c r="B14" s="15"/>
      <c r="C14" s="15"/>
      <c r="D14" s="15"/>
      <c r="E14" s="15"/>
      <c r="F14" s="46"/>
    </row>
    <row r="15" spans="1:12">
      <c r="B15" s="23"/>
      <c r="C15" s="23"/>
      <c r="D15" s="23"/>
      <c r="E15" s="24"/>
      <c r="F15" s="25"/>
    </row>
    <row r="16" spans="1:12">
      <c r="B16" s="26"/>
      <c r="C16" s="26"/>
      <c r="D16" s="26"/>
      <c r="F16" s="47">
        <f>D8/288880000</f>
        <v>0.32621455846718361</v>
      </c>
    </row>
  </sheetData>
  <mergeCells count="7">
    <mergeCell ref="A1:F1"/>
    <mergeCell ref="A3:A7"/>
    <mergeCell ref="B3:B7"/>
    <mergeCell ref="C3:C7"/>
    <mergeCell ref="D3:D7"/>
    <mergeCell ref="E3:E7"/>
    <mergeCell ref="F3:F7"/>
  </mergeCells>
  <printOptions horizontalCentered="1"/>
  <pageMargins left="0.59055118110236204" right="0.39370078740157499" top="0.39370078740157499" bottom="0.39370078740157499" header="0.118110236220472" footer="0.118110236220472"/>
  <pageSetup paperSize="9" scale="95" firstPageNumber="22" orientation="portrait" useFirstPageNumber="1"/>
  <headerFooter alignWithMargins="0">
    <oddHeader>&amp;C&amp;"Times New Roman,Regular"&amp;12&amp;P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workbookViewId="0">
      <selection activeCell="J27" sqref="J27"/>
    </sheetView>
  </sheetViews>
  <sheetFormatPr defaultColWidth="9.08984375" defaultRowHeight="13"/>
  <cols>
    <col min="1" max="1" width="40.6328125" style="3" customWidth="1"/>
    <col min="2" max="2" width="13.08984375" style="3" customWidth="1"/>
    <col min="3" max="3" width="11.54296875" style="3" customWidth="1"/>
    <col min="4" max="4" width="12.36328125" style="3" customWidth="1"/>
    <col min="5" max="5" width="10" style="3" customWidth="1"/>
    <col min="6" max="6" width="13.6328125" style="3" customWidth="1"/>
    <col min="7" max="16384" width="9.08984375" style="3"/>
  </cols>
  <sheetData>
    <row r="1" spans="1:16" ht="36.75" customHeight="1">
      <c r="A1" s="27" t="s">
        <v>13</v>
      </c>
      <c r="B1" s="27"/>
      <c r="C1" s="27"/>
      <c r="D1" s="27"/>
      <c r="E1" s="27"/>
      <c r="F1" s="27"/>
    </row>
    <row r="2" spans="1:16" s="1" customFormat="1" ht="15.75" customHeight="1">
      <c r="A2" s="4"/>
      <c r="B2" s="4"/>
      <c r="C2" s="4"/>
      <c r="D2" s="4"/>
      <c r="F2" s="5" t="s">
        <v>1</v>
      </c>
    </row>
    <row r="3" spans="1:16" s="1" customFormat="1" ht="17.25" customHeight="1">
      <c r="A3" s="36"/>
      <c r="B3" s="30" t="s">
        <v>2</v>
      </c>
      <c r="C3" s="30" t="s">
        <v>3</v>
      </c>
      <c r="D3" s="30" t="s">
        <v>4</v>
      </c>
      <c r="E3" s="33" t="s">
        <v>14</v>
      </c>
      <c r="F3" s="33" t="s">
        <v>6</v>
      </c>
    </row>
    <row r="4" spans="1:16" s="1" customFormat="1" ht="17.25" customHeight="1">
      <c r="A4" s="37"/>
      <c r="B4" s="31"/>
      <c r="C4" s="31"/>
      <c r="D4" s="31"/>
      <c r="E4" s="34"/>
      <c r="F4" s="34"/>
    </row>
    <row r="5" spans="1:16" s="1" customFormat="1" ht="17.25" customHeight="1">
      <c r="A5" s="37"/>
      <c r="B5" s="31"/>
      <c r="C5" s="31"/>
      <c r="D5" s="31"/>
      <c r="E5" s="34"/>
      <c r="F5" s="34"/>
    </row>
    <row r="6" spans="1:16" s="1" customFormat="1" ht="17.25" customHeight="1">
      <c r="A6" s="37"/>
      <c r="B6" s="31"/>
      <c r="C6" s="31"/>
      <c r="D6" s="31"/>
      <c r="E6" s="34"/>
      <c r="F6" s="34"/>
    </row>
    <row r="7" spans="1:16" s="1" customFormat="1" ht="27" customHeight="1">
      <c r="A7" s="37"/>
      <c r="B7" s="32"/>
      <c r="C7" s="32"/>
      <c r="D7" s="32"/>
      <c r="E7" s="35"/>
      <c r="F7" s="35"/>
    </row>
    <row r="8" spans="1:16" ht="20.25" customHeight="1">
      <c r="A8" s="6" t="s">
        <v>7</v>
      </c>
      <c r="B8" s="7">
        <v>12739299.9</v>
      </c>
      <c r="C8" s="7">
        <v>12990725.380000001</v>
      </c>
      <c r="D8" s="7">
        <v>62412608.789999999</v>
      </c>
      <c r="E8" s="8">
        <v>121.22591824011801</v>
      </c>
      <c r="F8" s="9">
        <v>117.062925794444</v>
      </c>
      <c r="G8" s="10"/>
      <c r="L8" s="10"/>
      <c r="M8" s="10"/>
      <c r="N8" s="10"/>
      <c r="O8" s="10"/>
      <c r="P8" s="10"/>
    </row>
    <row r="9" spans="1:16" ht="21.75" customHeight="1">
      <c r="A9" s="11" t="s">
        <v>15</v>
      </c>
      <c r="E9" s="12"/>
      <c r="L9" s="10"/>
      <c r="M9" s="10"/>
      <c r="N9" s="10"/>
      <c r="O9" s="10"/>
      <c r="P9" s="10"/>
    </row>
    <row r="10" spans="1:16" ht="20.25" customHeight="1">
      <c r="A10" s="1" t="s">
        <v>16</v>
      </c>
      <c r="B10" s="13">
        <v>4383921.22</v>
      </c>
      <c r="C10" s="13">
        <v>4514320.0999999996</v>
      </c>
      <c r="D10" s="13">
        <v>21803672.629999999</v>
      </c>
      <c r="E10" s="12">
        <v>117.75837170699801</v>
      </c>
      <c r="F10" s="12">
        <v>114.50730180815999</v>
      </c>
      <c r="G10" s="10"/>
      <c r="L10" s="10"/>
      <c r="M10" s="10"/>
      <c r="N10" s="10"/>
      <c r="O10" s="10"/>
      <c r="P10" s="10"/>
    </row>
    <row r="11" spans="1:16" ht="20.25" customHeight="1">
      <c r="A11" s="1" t="s">
        <v>17</v>
      </c>
      <c r="B11" s="13">
        <v>463038</v>
      </c>
      <c r="C11" s="13">
        <v>473198.38</v>
      </c>
      <c r="D11" s="13">
        <v>2407881.7999999998</v>
      </c>
      <c r="E11" s="12">
        <v>105.805570642118</v>
      </c>
      <c r="F11" s="12">
        <v>106.579328586673</v>
      </c>
      <c r="G11" s="10"/>
      <c r="L11" s="10"/>
      <c r="M11" s="10"/>
      <c r="N11" s="10"/>
      <c r="O11" s="10"/>
      <c r="P11" s="10"/>
    </row>
    <row r="12" spans="1:16" ht="20.25" customHeight="1">
      <c r="A12" s="1" t="s">
        <v>18</v>
      </c>
      <c r="B12" s="13">
        <v>1439472.89</v>
      </c>
      <c r="C12" s="13">
        <v>1451901.66</v>
      </c>
      <c r="D12" s="13">
        <v>7115333.4100000001</v>
      </c>
      <c r="E12" s="12">
        <v>121.23810526242799</v>
      </c>
      <c r="F12" s="12">
        <v>117.58813750829999</v>
      </c>
      <c r="G12" s="10"/>
      <c r="L12" s="10"/>
      <c r="M12" s="10"/>
      <c r="N12" s="10"/>
      <c r="O12" s="10"/>
      <c r="P12" s="10"/>
    </row>
    <row r="13" spans="1:16" ht="20.25" customHeight="1">
      <c r="A13" s="1" t="s">
        <v>19</v>
      </c>
      <c r="B13" s="13">
        <v>96773.3</v>
      </c>
      <c r="C13" s="13">
        <v>97153.73</v>
      </c>
      <c r="D13" s="13">
        <v>498015.03</v>
      </c>
      <c r="E13" s="12">
        <v>119.132919766477</v>
      </c>
      <c r="F13" s="12">
        <v>124.140420214605</v>
      </c>
      <c r="G13" s="10"/>
      <c r="L13" s="10"/>
      <c r="M13" s="10"/>
      <c r="N13" s="10"/>
      <c r="O13" s="10"/>
      <c r="P13" s="10"/>
    </row>
    <row r="14" spans="1:16" ht="20.25" customHeight="1">
      <c r="A14" s="1" t="s">
        <v>20</v>
      </c>
      <c r="B14" s="13">
        <v>1673033.17</v>
      </c>
      <c r="C14" s="13">
        <v>1695423.81</v>
      </c>
      <c r="D14" s="13">
        <v>8048273.3399999999</v>
      </c>
      <c r="E14" s="12">
        <v>141.85988312730501</v>
      </c>
      <c r="F14" s="12">
        <v>134.490662940216</v>
      </c>
      <c r="G14" s="10"/>
      <c r="L14" s="10"/>
      <c r="M14" s="10"/>
      <c r="N14" s="10"/>
      <c r="O14" s="10"/>
      <c r="P14" s="10"/>
    </row>
    <row r="15" spans="1:16" ht="20.25" customHeight="1">
      <c r="A15" s="1" t="s">
        <v>21</v>
      </c>
      <c r="B15" s="13">
        <v>258263.74</v>
      </c>
      <c r="C15" s="13">
        <v>260051.25</v>
      </c>
      <c r="D15" s="13">
        <v>1215302.07</v>
      </c>
      <c r="E15" s="12">
        <v>118.60316202126501</v>
      </c>
      <c r="F15" s="12">
        <v>110.021158735656</v>
      </c>
      <c r="G15" s="10"/>
      <c r="L15" s="10"/>
      <c r="M15" s="10"/>
      <c r="N15" s="10"/>
      <c r="O15" s="10"/>
      <c r="P15" s="10"/>
    </row>
    <row r="16" spans="1:16" ht="20.25" customHeight="1">
      <c r="A16" s="1" t="s">
        <v>22</v>
      </c>
      <c r="B16" s="13">
        <v>593348.21</v>
      </c>
      <c r="C16" s="13">
        <v>597484.74</v>
      </c>
      <c r="D16" s="13">
        <v>2817680.23</v>
      </c>
      <c r="E16" s="12">
        <v>111.38802456617</v>
      </c>
      <c r="F16" s="12">
        <v>108.01345429964201</v>
      </c>
      <c r="G16" s="10"/>
      <c r="L16" s="10"/>
      <c r="M16" s="10"/>
      <c r="N16" s="10"/>
      <c r="O16" s="10"/>
      <c r="P16" s="10"/>
    </row>
    <row r="17" spans="1:16" ht="20.25" customHeight="1">
      <c r="A17" s="1" t="s">
        <v>23</v>
      </c>
      <c r="B17" s="13">
        <v>2047712.03</v>
      </c>
      <c r="C17" s="13">
        <v>2074779.92</v>
      </c>
      <c r="D17" s="13">
        <v>9699476.4499999993</v>
      </c>
      <c r="E17" s="12">
        <v>130.86931636242701</v>
      </c>
      <c r="F17" s="12">
        <v>123.41851692122</v>
      </c>
      <c r="G17" s="10"/>
      <c r="L17" s="10"/>
      <c r="M17" s="10"/>
      <c r="N17" s="10"/>
      <c r="O17" s="10"/>
      <c r="P17" s="10"/>
    </row>
    <row r="18" spans="1:16" ht="20.25" customHeight="1">
      <c r="A18" s="1" t="s">
        <v>24</v>
      </c>
      <c r="B18" s="13">
        <v>211299.81</v>
      </c>
      <c r="C18" s="13">
        <v>218519.99</v>
      </c>
      <c r="D18" s="13">
        <v>1026305.72</v>
      </c>
      <c r="E18" s="12">
        <v>113.86875900607799</v>
      </c>
      <c r="F18" s="12">
        <v>109.627462578474</v>
      </c>
      <c r="G18" s="10"/>
      <c r="L18" s="10"/>
      <c r="M18" s="10"/>
      <c r="N18" s="10"/>
      <c r="O18" s="10"/>
      <c r="P18" s="10"/>
    </row>
    <row r="19" spans="1:16" ht="20.25" customHeight="1">
      <c r="A19" s="1" t="s">
        <v>25</v>
      </c>
      <c r="B19" s="13">
        <v>967487.51</v>
      </c>
      <c r="C19" s="13">
        <v>989424.44</v>
      </c>
      <c r="D19" s="13">
        <v>4836086.42</v>
      </c>
      <c r="E19" s="12">
        <v>107.29903327303801</v>
      </c>
      <c r="F19" s="12">
        <v>105.272612348419</v>
      </c>
      <c r="G19" s="10"/>
      <c r="L19" s="10"/>
      <c r="M19" s="10"/>
      <c r="N19" s="10"/>
      <c r="O19" s="10"/>
      <c r="P19" s="10"/>
    </row>
    <row r="20" spans="1:16" ht="20.25" customHeight="1">
      <c r="A20" s="1" t="s">
        <v>26</v>
      </c>
      <c r="B20" s="13">
        <v>290779.12</v>
      </c>
      <c r="C20" s="13">
        <v>295257.03999999998</v>
      </c>
      <c r="D20" s="13">
        <v>1387550.6</v>
      </c>
      <c r="E20" s="12">
        <v>127.014214584334</v>
      </c>
      <c r="F20" s="12">
        <v>121.358641038499</v>
      </c>
      <c r="G20" s="10"/>
      <c r="L20" s="10"/>
      <c r="M20" s="10"/>
      <c r="N20" s="10"/>
      <c r="O20" s="10"/>
      <c r="P20" s="10"/>
    </row>
    <row r="21" spans="1:16" ht="34.5" customHeight="1">
      <c r="A21" s="14" t="s">
        <v>27</v>
      </c>
      <c r="B21" s="2">
        <v>314170.90000000002</v>
      </c>
      <c r="C21" s="2">
        <v>323210.32</v>
      </c>
      <c r="D21" s="2">
        <v>1557031.09</v>
      </c>
      <c r="E21" s="12">
        <v>118.145601689721</v>
      </c>
      <c r="F21" s="12">
        <v>116.828007650739</v>
      </c>
      <c r="G21" s="10"/>
      <c r="L21" s="10"/>
      <c r="M21" s="10"/>
      <c r="N21" s="10"/>
      <c r="O21" s="10"/>
      <c r="P21" s="10"/>
    </row>
    <row r="22" spans="1:16" s="2" customFormat="1" ht="5.25" customHeight="1">
      <c r="A22" s="15"/>
      <c r="B22" s="15"/>
      <c r="C22" s="15"/>
      <c r="D22" s="15"/>
      <c r="E22" s="15"/>
      <c r="F22" s="15"/>
    </row>
  </sheetData>
  <mergeCells count="7">
    <mergeCell ref="A1:F1"/>
    <mergeCell ref="A3:A7"/>
    <mergeCell ref="B3:B7"/>
    <mergeCell ref="C3:C7"/>
    <mergeCell ref="D3:D7"/>
    <mergeCell ref="E3:E7"/>
    <mergeCell ref="F3:F7"/>
  </mergeCells>
  <printOptions horizontalCentered="1"/>
  <pageMargins left="0.59055118110236204" right="0.39370078740157499" top="0.39370078740157499" bottom="0.39370078740157499" header="0.118110236220472" footer="0.118110236220472"/>
  <pageSetup paperSize="9" scale="95" firstPageNumber="23" orientation="portrait" useFirstPageNumber="1"/>
  <headerFooter alignWithMargins="0">
    <oddHeader>&amp;C&amp;"Times New Roman,Regular"&amp;12&amp;P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Tổng mức</vt:lpstr>
      <vt:lpstr>DT bán lẻ</vt:lpstr>
      <vt:lpstr>'DT bán lẻ'!Print_Area</vt:lpstr>
      <vt:lpstr>'Tổng mức'!Print_Area</vt:lpstr>
      <vt:lpstr>'DT bán lẻ'!Print_Titles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nnvan</dc:creator>
  <cp:lastModifiedBy>ASUS</cp:lastModifiedBy>
  <cp:lastPrinted>2026-02-02T04:07:00Z</cp:lastPrinted>
  <dcterms:created xsi:type="dcterms:W3CDTF">2012-04-04T08:13:00Z</dcterms:created>
  <dcterms:modified xsi:type="dcterms:W3CDTF">2026-05-24T07:50:56Z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F891458A569A453F9CA911A9DAA016E5_13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