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4240" windowHeight="13020" tabRatio="918" activeTab="1"/>
  </bookViews>
  <sheets>
    <sheet name="IIP" sheetId="69" r:id="rId1"/>
    <sheet name="SPCN" sheetId="21" r:id="rId2"/>
  </sheets>
  <definedNames>
    <definedName name="_xlnm._FilterDatabase" localSheetId="0" hidden="1">IIP!$A$4:$WUF$37</definedName>
    <definedName name="_xlnm._FilterDatabase" localSheetId="1" hidden="1">SPCN!#REF!</definedName>
    <definedName name="_xlnm.Print_Area" localSheetId="0">IIP!$A$1:$E$38</definedName>
    <definedName name="_xlnm.Print_Titles" localSheetId="0">IIP!$3:$4</definedName>
  </definedNames>
  <calcPr calcId="144525"/>
</workbook>
</file>

<file path=xl/calcChain.xml><?xml version="1.0" encoding="utf-8"?>
<calcChain xmlns="http://schemas.openxmlformats.org/spreadsheetml/2006/main">
  <c r="F7" i="21" l="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6" i="21"/>
</calcChain>
</file>

<file path=xl/sharedStrings.xml><?xml version="1.0" encoding="utf-8"?>
<sst xmlns="http://schemas.openxmlformats.org/spreadsheetml/2006/main" count="131" uniqueCount="98">
  <si>
    <t>Điện thương phẩm</t>
  </si>
  <si>
    <t>Tấn</t>
  </si>
  <si>
    <t>Thức ăn cho gia súc</t>
  </si>
  <si>
    <t>Giày, dép thể thao có đế ngoài và mũ giày bằng cao su và plastic</t>
  </si>
  <si>
    <t>Nước khoáng không có ga</t>
  </si>
  <si>
    <t>Vải dệt thoi từ sợi tơ (filament) tổng hợp</t>
  </si>
  <si>
    <t>Bia đóng chai</t>
  </si>
  <si>
    <t>Bia đóng lon</t>
  </si>
  <si>
    <t>Sợi từ bông (staple) nhân tạo có tỷ trọng của loại bông này dưới 85%</t>
  </si>
  <si>
    <t>Áo sơ mi cho người lớn dệt kim hoặc đan móc</t>
  </si>
  <si>
    <t>Áo sơ mi cho người lớn không dệt kim hoặc đan móc</t>
  </si>
  <si>
    <t>Đơn vị tính: %</t>
  </si>
  <si>
    <t>Sản xuất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</si>
  <si>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</si>
  <si>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</si>
  <si>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</si>
  <si>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</si>
  <si>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</si>
  <si>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 (trừ giường, tủ, bàn, ghế); sản xuất 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</si>
  <si>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</si>
  <si>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</si>
  <si>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</si>
  <si>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</si>
  <si>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</si>
  <si>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</si>
  <si>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(trừ máy móc, thiết bị)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</si>
  <si>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</si>
  <si>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</si>
  <si>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</si>
  <si>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</si>
  <si>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</si>
  <si>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Sửa chữa, bảo dưỡng và lắp đặt máy móc và thiết bị</t>
  </si>
  <si>
    <t>Cung cấp nước; hoạt động quản lý và xử lý rác thải, nước thải</t>
  </si>
  <si>
    <t>Khai thác, xử lý và cung cấp nước</t>
  </si>
  <si>
    <t>Thoát nước và xử lý nước thải</t>
  </si>
  <si>
    <t>1000 lít</t>
  </si>
  <si>
    <t>1000 bao</t>
  </si>
  <si>
    <t>Sợi xe từ các loại sợi tự nhiên: bông, đay, lanh, xơ dừa, cói ...</t>
  </si>
  <si>
    <t>Vải dệt thoi từ sợi tơ (filament) nhân tạo</t>
  </si>
  <si>
    <t>1000 cái</t>
  </si>
  <si>
    <t>Bộ com-lê, quần áo đồng bộ, áo jacket, quần dài, quần yếm, quần soóc cho người lớn không dệt kim hoặc đan móc</t>
  </si>
  <si>
    <t>1000 đôi</t>
  </si>
  <si>
    <t>Ống khác không nối, mặt cắt hình tròn bằng sắt, thép không hợp kim</t>
  </si>
  <si>
    <t>Triệu KWh</t>
  </si>
  <si>
    <t>Điện mặt trời</t>
  </si>
  <si>
    <t>Sản xuất hoá chất và sản phẩm hoá chất</t>
  </si>
  <si>
    <t>Sản xuất thuốc, hoá dược và dược liệu</t>
  </si>
  <si>
    <t>Sản xuất sản phẩm điện tử, máy vi tính và sản phẩm quang học</t>
  </si>
  <si>
    <t>Sản xuất và phân phối điện, khí đốt, nước nóng, hơi nước và điều hoà không khí</t>
  </si>
  <si>
    <t>Hoạt động thu gom, xử lý và tiêu huỷ rác thải; tái chế phế liệu</t>
  </si>
  <si>
    <t>Gạo đã xát toàn bộ hoặc sơ bộ, đã hoặc chưa đánh bóng hạt hoặc hồ</t>
  </si>
  <si>
    <t>Thức ăn cho thuỷ sản</t>
  </si>
  <si>
    <t>Công nghiệp chế biến, chế tạo</t>
  </si>
  <si>
    <t>Thuốc lá có đầu lọc</t>
  </si>
  <si>
    <t>Thuỷ hải sản đã được chế biến bảo quản khác dùng làm thức ăn cho người</t>
  </si>
  <si>
    <t>TOÀN NGÀNH</t>
  </si>
  <si>
    <t>Giày, dép có đế hoặc mũ bằng da</t>
  </si>
  <si>
    <t>2. Chỉ số sản xuất ngành công nghiệp tháng 01 năm 2026</t>
  </si>
  <si>
    <t xml:space="preserve">Tháng
12/2025
so cùng kỳ
</t>
  </si>
  <si>
    <t xml:space="preserve">Tháng
01/2026 so
tháng trước
</t>
  </si>
  <si>
    <t xml:space="preserve">Tháng
01/2026
so cùng kỳ
</t>
  </si>
  <si>
    <t>Lũy kế
cuối tháng
01/2026
so cùng kỳ</t>
  </si>
  <si>
    <t>Công nghiệp chế biến, chế tạo khác</t>
  </si>
  <si>
    <t>Khai khoáng</t>
  </si>
  <si>
    <t>Khai khoáng khác</t>
  </si>
  <si>
    <t>3. Sản phẩm chủ yếu ngành công nghiệp tháng 01 năm 2026</t>
  </si>
  <si>
    <t>Tháng 01
năm 2026
 so với
tháng 12
năm 2025
(%)</t>
  </si>
  <si>
    <t>Lũy kế
đến cuối 
01/2026
so với
cùng kỳ
(%)</t>
  </si>
  <si>
    <t>Tinh bột sắn, bột dong riềng</t>
  </si>
  <si>
    <t>Đường RE</t>
  </si>
  <si>
    <t>Đường RS</t>
  </si>
  <si>
    <t>Thức ăn cho vật nuôi làm cảnh</t>
  </si>
  <si>
    <t>Nước tinh khiết</t>
  </si>
  <si>
    <t>Nước ngọt (cocacola, 7 up, …)</t>
  </si>
  <si>
    <t>Sợi tơ (filament) tổng hợp</t>
  </si>
  <si>
    <t>Vải dệt kim hoặc móc khác</t>
  </si>
  <si>
    <t>Quần áo da thuộc</t>
  </si>
  <si>
    <t>Bộ com-lê, quần áo đồng bộ, áo jacket, quần dài, quần yếm, quần soóc cho người lớn dệt kim hoặc đan móc</t>
  </si>
  <si>
    <t>Giày, dép có đế ngoài và mũ bằng cao su hoặc plastic trừ giày dép không thấm nước</t>
  </si>
  <si>
    <t>Giày, dép thể thao có mũ bằng da và có đế ngoài</t>
  </si>
  <si>
    <t>Lốp hơi mới bằng cao su, loại dùng cho ô tô con</t>
  </si>
  <si>
    <t>Lốp hơi mới bằng cao su, loại dùng cho xe buýt, xe tải hoặc máy bay</t>
  </si>
  <si>
    <t>Lốp hơi mới bằng cao su, loại dùng cho xe máy, xe đạp</t>
  </si>
  <si>
    <t>Clanke Poolan</t>
  </si>
  <si>
    <t>Xi măng</t>
  </si>
  <si>
    <t>Điện sản xuất</t>
  </si>
  <si>
    <t>Nước máy sản xuất</t>
  </si>
  <si>
    <t>Dịch vụ thu gom rác thải không độc hại không thể tái chế</t>
  </si>
  <si>
    <t>Đơn
vị tính</t>
  </si>
  <si>
    <t>Thực hiện
tháng 12
năm 2025</t>
  </si>
  <si>
    <t>Ước
tháng 01
năm 2026</t>
  </si>
  <si>
    <t>Lũy kế từ
đầu năm
đến cuối
tháng 01
năm 2026</t>
  </si>
  <si>
    <t xml:space="preserve"> </t>
  </si>
  <si>
    <t>1000 m2</t>
  </si>
  <si>
    <t>1000 m3</t>
  </si>
  <si>
    <t>Triệu đồng</t>
  </si>
  <si>
    <t>T1/2025</t>
  </si>
  <si>
    <t>CD 1T/2025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</si>
</sst>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* #,##0\ _P_t_s_-;\-* #,##0\ _P_t_s_-;_-* &quot;-&quot;\ _P_t_s_-;_-@_-"/>
    <numFmt numFmtId="165" formatCode="#,###.00;\-#,###.00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.VnTime"/>
      <family val="2"/>
    </font>
    <font>
      <sz val="8"/>
      <name val="MS Sans Serif"/>
      <family val="2"/>
    </font>
    <font>
      <b/>
      <sz val="12"/>
      <name val="Times New Roman"/>
      <family val="1"/>
    </font>
    <font>
      <sz val="10"/>
      <name val=".VnArial"/>
      <family val="2"/>
    </font>
    <font>
      <sz val="10"/>
      <name val="Arial"/>
      <family val="2"/>
    </font>
    <font>
      <sz val="13"/>
      <color theme="1"/>
      <name val=".VnTime"/>
      <family val="2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Calibri"/>
      <family val="2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2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 applyAlignment="0">
      <alignment vertical="top" wrapText="1"/>
      <protection locked="0"/>
    </xf>
    <xf numFmtId="41" fontId="7" fillId="0" borderId="0"/>
    <xf numFmtId="0" fontId="3" fillId="0" borderId="0"/>
    <xf numFmtId="0" fontId="9" fillId="0" borderId="0"/>
    <xf numFmtId="0" fontId="1" fillId="0" borderId="0"/>
    <xf numFmtId="0" fontId="13" fillId="0" borderId="0"/>
  </cellStyleXfs>
  <cellXfs count="48">
    <xf numFmtId="0" fontId="0" fillId="0" borderId="0" xfId="0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0" fillId="0" borderId="0" xfId="9" applyFont="1" applyAlignment="1">
      <alignment vertical="center"/>
    </xf>
    <xf numFmtId="0" fontId="14" fillId="0" borderId="0" xfId="9" applyFont="1" applyAlignment="1">
      <alignment vertical="center" wrapText="1"/>
    </xf>
    <xf numFmtId="0" fontId="11" fillId="0" borderId="0" xfId="9" applyFont="1" applyAlignment="1">
      <alignment horizontal="left" vertical="center" wrapText="1"/>
    </xf>
    <xf numFmtId="0" fontId="11" fillId="0" borderId="0" xfId="9" applyFont="1" applyAlignment="1">
      <alignment vertical="center" wrapText="1"/>
    </xf>
    <xf numFmtId="0" fontId="11" fillId="0" borderId="0" xfId="1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9" applyFont="1" applyAlignment="1">
      <alignment horizontal="left" vertical="center" wrapText="1"/>
    </xf>
    <xf numFmtId="0" fontId="17" fillId="0" borderId="3" xfId="9" applyFont="1" applyBorder="1" applyAlignment="1">
      <alignment horizontal="center" vertical="center" wrapText="1"/>
    </xf>
    <xf numFmtId="0" fontId="16" fillId="0" borderId="2" xfId="9" applyFont="1" applyBorder="1" applyAlignment="1">
      <alignment horizontal="center" vertical="center" wrapText="1"/>
    </xf>
    <xf numFmtId="0" fontId="17" fillId="0" borderId="0" xfId="9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0" fontId="17" fillId="0" borderId="0" xfId="9" applyFont="1" applyAlignment="1">
      <alignment vertical="center" wrapText="1"/>
    </xf>
    <xf numFmtId="165" fontId="17" fillId="0" borderId="0" xfId="9" applyNumberFormat="1" applyFont="1" applyAlignment="1">
      <alignment horizontal="left" vertical="center"/>
    </xf>
    <xf numFmtId="2" fontId="17" fillId="0" borderId="0" xfId="0" applyNumberFormat="1" applyFont="1" applyAlignment="1">
      <alignment horizontal="right" vertical="center" wrapText="1" indent="1"/>
    </xf>
    <xf numFmtId="49" fontId="15" fillId="0" borderId="0" xfId="0" applyNumberFormat="1" applyFont="1" applyAlignment="1">
      <alignment horizontal="left" vertical="center" wrapText="1"/>
    </xf>
    <xf numFmtId="2" fontId="15" fillId="0" borderId="0" xfId="0" applyNumberFormat="1" applyFont="1" applyAlignment="1">
      <alignment horizontal="right" vertical="center" wrapText="1" indent="1"/>
    </xf>
    <xf numFmtId="0" fontId="15" fillId="0" borderId="0" xfId="9" applyFont="1" applyAlignment="1">
      <alignment vertical="center" wrapText="1"/>
    </xf>
    <xf numFmtId="0" fontId="15" fillId="0" borderId="0" xfId="9" applyFont="1" applyAlignment="1">
      <alignment horizontal="left" vertical="center" wrapText="1"/>
    </xf>
    <xf numFmtId="2" fontId="17" fillId="0" borderId="0" xfId="9" applyNumberFormat="1" applyFont="1" applyAlignment="1">
      <alignment horizontal="left" vertical="center" wrapText="1"/>
    </xf>
    <xf numFmtId="2" fontId="16" fillId="0" borderId="0" xfId="9" applyNumberFormat="1" applyFont="1" applyAlignment="1">
      <alignment horizontal="left" vertical="center" wrapText="1"/>
    </xf>
    <xf numFmtId="0" fontId="11" fillId="0" borderId="1" xfId="10" applyFont="1" applyBorder="1" applyAlignment="1">
      <alignment vertical="center"/>
    </xf>
    <xf numFmtId="165" fontId="6" fillId="0" borderId="0" xfId="9" applyNumberFormat="1" applyFont="1" applyAlignment="1">
      <alignment horizontal="left"/>
    </xf>
    <xf numFmtId="165" fontId="18" fillId="0" borderId="0" xfId="9" applyNumberFormat="1" applyFont="1" applyAlignment="1">
      <alignment horizontal="left" indent="1"/>
    </xf>
    <xf numFmtId="0" fontId="16" fillId="0" borderId="0" xfId="0" applyFont="1" applyAlignment="1">
      <alignment horizontal="left" vertical="center" wrapText="1"/>
    </xf>
    <xf numFmtId="49" fontId="16" fillId="0" borderId="0" xfId="0" applyNumberFormat="1" applyFont="1" applyAlignment="1">
      <alignment horizontal="center" vertical="center" wrapText="1"/>
    </xf>
    <xf numFmtId="4" fontId="16" fillId="0" borderId="0" xfId="0" applyNumberFormat="1" applyFont="1" applyAlignment="1">
      <alignment horizontal="right" vertical="center" wrapText="1"/>
    </xf>
    <xf numFmtId="49" fontId="16" fillId="0" borderId="0" xfId="0" applyNumberFormat="1" applyFont="1" applyAlignment="1">
      <alignment horizontal="left" vertical="center" wrapText="1"/>
    </xf>
    <xf numFmtId="4" fontId="16" fillId="2" borderId="0" xfId="0" applyNumberFormat="1" applyFont="1" applyFill="1" applyAlignment="1">
      <alignment horizontal="right" vertical="center" wrapText="1"/>
    </xf>
    <xf numFmtId="43" fontId="16" fillId="0" borderId="0" xfId="1" applyFont="1" applyAlignment="1">
      <alignment vertical="center"/>
    </xf>
    <xf numFmtId="43" fontId="16" fillId="2" borderId="0" xfId="1" applyFont="1" applyFill="1" applyAlignment="1">
      <alignment vertical="center"/>
    </xf>
    <xf numFmtId="0" fontId="15" fillId="0" borderId="1" xfId="9" applyFont="1" applyBorder="1" applyAlignment="1">
      <alignment horizontal="right" vertical="center" wrapText="1"/>
    </xf>
    <xf numFmtId="0" fontId="16" fillId="0" borderId="1" xfId="9" applyFont="1" applyBorder="1" applyAlignment="1" applyProtection="1">
      <alignment horizontal="right" vertical="center" wrapText="1"/>
      <protection locked="0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6" fillId="0" borderId="3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top" wrapText="1"/>
    </xf>
    <xf numFmtId="49" fontId="16" fillId="0" borderId="0" xfId="0" applyNumberFormat="1" applyFont="1" applyAlignment="1">
      <alignment horizontal="center" vertical="top"/>
    </xf>
    <xf numFmtId="49" fontId="16" fillId="0" borderId="1" xfId="0" applyNumberFormat="1" applyFont="1" applyBorder="1" applyAlignment="1">
      <alignment horizontal="center" vertical="top"/>
    </xf>
    <xf numFmtId="4" fontId="19" fillId="0" borderId="0" xfId="0" applyNumberFormat="1" applyFont="1" applyAlignment="1">
      <alignment horizontal="right" vertical="center" wrapText="1"/>
    </xf>
  </cellXfs>
  <cellStyles count="12">
    <cellStyle name="Comma" xfId="1" builtinId="3"/>
    <cellStyle name="Comma [0] 2" xfId="2"/>
    <cellStyle name="Comma [0] 3" xfId="3"/>
    <cellStyle name="Comma 2" xfId="4"/>
    <cellStyle name="Comma 3" xfId="5"/>
    <cellStyle name="Normal" xfId="0" builtinId="0"/>
    <cellStyle name="Normal 2" xfId="6"/>
    <cellStyle name="Normal 2 4" xfId="7"/>
    <cellStyle name="Normal 2 5" xfId="10"/>
    <cellStyle name="Normal 3" xfId="8"/>
    <cellStyle name="Normal 4" xfId="9"/>
    <cellStyle name="Normal 5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B4" sqref="B4"/>
    </sheetView>
  </sheetViews>
  <sheetFormatPr defaultRowHeight="12.75" x14ac:dyDescent="0.2"/>
  <cols>
    <col min="1" max="1" width="55.140625" style="6" customWidth="1"/>
    <col min="2" max="5" width="10.42578125" style="6" customWidth="1"/>
    <col min="6" max="223" width="9.140625" style="7"/>
    <col min="224" max="224" width="62" style="7" customWidth="1"/>
    <col min="225" max="228" width="10.42578125" style="7" customWidth="1"/>
    <col min="229" max="479" width="9.140625" style="7"/>
    <col min="480" max="480" width="62" style="7" customWidth="1"/>
    <col min="481" max="484" width="10.42578125" style="7" customWidth="1"/>
    <col min="485" max="735" width="9.140625" style="7"/>
    <col min="736" max="736" width="62" style="7" customWidth="1"/>
    <col min="737" max="740" width="10.42578125" style="7" customWidth="1"/>
    <col min="741" max="991" width="9.140625" style="7"/>
    <col min="992" max="992" width="62" style="7" customWidth="1"/>
    <col min="993" max="996" width="10.42578125" style="7" customWidth="1"/>
    <col min="997" max="1247" width="9.140625" style="7"/>
    <col min="1248" max="1248" width="62" style="7" customWidth="1"/>
    <col min="1249" max="1252" width="10.42578125" style="7" customWidth="1"/>
    <col min="1253" max="1503" width="9.140625" style="7"/>
    <col min="1504" max="1504" width="62" style="7" customWidth="1"/>
    <col min="1505" max="1508" width="10.42578125" style="7" customWidth="1"/>
    <col min="1509" max="1759" width="9.140625" style="7"/>
    <col min="1760" max="1760" width="62" style="7" customWidth="1"/>
    <col min="1761" max="1764" width="10.42578125" style="7" customWidth="1"/>
    <col min="1765" max="2015" width="9.140625" style="7"/>
    <col min="2016" max="2016" width="62" style="7" customWidth="1"/>
    <col min="2017" max="2020" width="10.42578125" style="7" customWidth="1"/>
    <col min="2021" max="2271" width="9.140625" style="7"/>
    <col min="2272" max="2272" width="62" style="7" customWidth="1"/>
    <col min="2273" max="2276" width="10.42578125" style="7" customWidth="1"/>
    <col min="2277" max="2527" width="9.140625" style="7"/>
    <col min="2528" max="2528" width="62" style="7" customWidth="1"/>
    <col min="2529" max="2532" width="10.42578125" style="7" customWidth="1"/>
    <col min="2533" max="2783" width="9.140625" style="7"/>
    <col min="2784" max="2784" width="62" style="7" customWidth="1"/>
    <col min="2785" max="2788" width="10.42578125" style="7" customWidth="1"/>
    <col min="2789" max="3039" width="9.140625" style="7"/>
    <col min="3040" max="3040" width="62" style="7" customWidth="1"/>
    <col min="3041" max="3044" width="10.42578125" style="7" customWidth="1"/>
    <col min="3045" max="3295" width="9.140625" style="7"/>
    <col min="3296" max="3296" width="62" style="7" customWidth="1"/>
    <col min="3297" max="3300" width="10.42578125" style="7" customWidth="1"/>
    <col min="3301" max="3551" width="9.140625" style="7"/>
    <col min="3552" max="3552" width="62" style="7" customWidth="1"/>
    <col min="3553" max="3556" width="10.42578125" style="7" customWidth="1"/>
    <col min="3557" max="3807" width="9.140625" style="7"/>
    <col min="3808" max="3808" width="62" style="7" customWidth="1"/>
    <col min="3809" max="3812" width="10.42578125" style="7" customWidth="1"/>
    <col min="3813" max="4063" width="9.140625" style="7"/>
    <col min="4064" max="4064" width="62" style="7" customWidth="1"/>
    <col min="4065" max="4068" width="10.42578125" style="7" customWidth="1"/>
    <col min="4069" max="4319" width="9.140625" style="7"/>
    <col min="4320" max="4320" width="62" style="7" customWidth="1"/>
    <col min="4321" max="4324" width="10.42578125" style="7" customWidth="1"/>
    <col min="4325" max="4575" width="9.140625" style="7"/>
    <col min="4576" max="4576" width="62" style="7" customWidth="1"/>
    <col min="4577" max="4580" width="10.42578125" style="7" customWidth="1"/>
    <col min="4581" max="4831" width="9.140625" style="7"/>
    <col min="4832" max="4832" width="62" style="7" customWidth="1"/>
    <col min="4833" max="4836" width="10.42578125" style="7" customWidth="1"/>
    <col min="4837" max="5087" width="9.140625" style="7"/>
    <col min="5088" max="5088" width="62" style="7" customWidth="1"/>
    <col min="5089" max="5092" width="10.42578125" style="7" customWidth="1"/>
    <col min="5093" max="5343" width="9.140625" style="7"/>
    <col min="5344" max="5344" width="62" style="7" customWidth="1"/>
    <col min="5345" max="5348" width="10.42578125" style="7" customWidth="1"/>
    <col min="5349" max="5599" width="9.140625" style="7"/>
    <col min="5600" max="5600" width="62" style="7" customWidth="1"/>
    <col min="5601" max="5604" width="10.42578125" style="7" customWidth="1"/>
    <col min="5605" max="5855" width="9.140625" style="7"/>
    <col min="5856" max="5856" width="62" style="7" customWidth="1"/>
    <col min="5857" max="5860" width="10.42578125" style="7" customWidth="1"/>
    <col min="5861" max="6111" width="9.140625" style="7"/>
    <col min="6112" max="6112" width="62" style="7" customWidth="1"/>
    <col min="6113" max="6116" width="10.42578125" style="7" customWidth="1"/>
    <col min="6117" max="6367" width="9.140625" style="7"/>
    <col min="6368" max="6368" width="62" style="7" customWidth="1"/>
    <col min="6369" max="6372" width="10.42578125" style="7" customWidth="1"/>
    <col min="6373" max="6623" width="9.140625" style="7"/>
    <col min="6624" max="6624" width="62" style="7" customWidth="1"/>
    <col min="6625" max="6628" width="10.42578125" style="7" customWidth="1"/>
    <col min="6629" max="6879" width="9.140625" style="7"/>
    <col min="6880" max="6880" width="62" style="7" customWidth="1"/>
    <col min="6881" max="6884" width="10.42578125" style="7" customWidth="1"/>
    <col min="6885" max="7135" width="9.140625" style="7"/>
    <col min="7136" max="7136" width="62" style="7" customWidth="1"/>
    <col min="7137" max="7140" width="10.42578125" style="7" customWidth="1"/>
    <col min="7141" max="7391" width="9.140625" style="7"/>
    <col min="7392" max="7392" width="62" style="7" customWidth="1"/>
    <col min="7393" max="7396" width="10.42578125" style="7" customWidth="1"/>
    <col min="7397" max="7647" width="9.140625" style="7"/>
    <col min="7648" max="7648" width="62" style="7" customWidth="1"/>
    <col min="7649" max="7652" width="10.42578125" style="7" customWidth="1"/>
    <col min="7653" max="7903" width="9.140625" style="7"/>
    <col min="7904" max="7904" width="62" style="7" customWidth="1"/>
    <col min="7905" max="7908" width="10.42578125" style="7" customWidth="1"/>
    <col min="7909" max="8159" width="9.140625" style="7"/>
    <col min="8160" max="8160" width="62" style="7" customWidth="1"/>
    <col min="8161" max="8164" width="10.42578125" style="7" customWidth="1"/>
    <col min="8165" max="8415" width="9.140625" style="7"/>
    <col min="8416" max="8416" width="62" style="7" customWidth="1"/>
    <col min="8417" max="8420" width="10.42578125" style="7" customWidth="1"/>
    <col min="8421" max="8671" width="9.140625" style="7"/>
    <col min="8672" max="8672" width="62" style="7" customWidth="1"/>
    <col min="8673" max="8676" width="10.42578125" style="7" customWidth="1"/>
    <col min="8677" max="8927" width="9.140625" style="7"/>
    <col min="8928" max="8928" width="62" style="7" customWidth="1"/>
    <col min="8929" max="8932" width="10.42578125" style="7" customWidth="1"/>
    <col min="8933" max="9183" width="9.140625" style="7"/>
    <col min="9184" max="9184" width="62" style="7" customWidth="1"/>
    <col min="9185" max="9188" width="10.42578125" style="7" customWidth="1"/>
    <col min="9189" max="9439" width="9.140625" style="7"/>
    <col min="9440" max="9440" width="62" style="7" customWidth="1"/>
    <col min="9441" max="9444" width="10.42578125" style="7" customWidth="1"/>
    <col min="9445" max="9695" width="9.140625" style="7"/>
    <col min="9696" max="9696" width="62" style="7" customWidth="1"/>
    <col min="9697" max="9700" width="10.42578125" style="7" customWidth="1"/>
    <col min="9701" max="9951" width="9.140625" style="7"/>
    <col min="9952" max="9952" width="62" style="7" customWidth="1"/>
    <col min="9953" max="9956" width="10.42578125" style="7" customWidth="1"/>
    <col min="9957" max="10207" width="9.140625" style="7"/>
    <col min="10208" max="10208" width="62" style="7" customWidth="1"/>
    <col min="10209" max="10212" width="10.42578125" style="7" customWidth="1"/>
    <col min="10213" max="10463" width="9.140625" style="7"/>
    <col min="10464" max="10464" width="62" style="7" customWidth="1"/>
    <col min="10465" max="10468" width="10.42578125" style="7" customWidth="1"/>
    <col min="10469" max="10719" width="9.140625" style="7"/>
    <col min="10720" max="10720" width="62" style="7" customWidth="1"/>
    <col min="10721" max="10724" width="10.42578125" style="7" customWidth="1"/>
    <col min="10725" max="10975" width="9.140625" style="7"/>
    <col min="10976" max="10976" width="62" style="7" customWidth="1"/>
    <col min="10977" max="10980" width="10.42578125" style="7" customWidth="1"/>
    <col min="10981" max="11231" width="9.140625" style="7"/>
    <col min="11232" max="11232" width="62" style="7" customWidth="1"/>
    <col min="11233" max="11236" width="10.42578125" style="7" customWidth="1"/>
    <col min="11237" max="11487" width="9.140625" style="7"/>
    <col min="11488" max="11488" width="62" style="7" customWidth="1"/>
    <col min="11489" max="11492" width="10.42578125" style="7" customWidth="1"/>
    <col min="11493" max="11743" width="9.140625" style="7"/>
    <col min="11744" max="11744" width="62" style="7" customWidth="1"/>
    <col min="11745" max="11748" width="10.42578125" style="7" customWidth="1"/>
    <col min="11749" max="11999" width="9.140625" style="7"/>
    <col min="12000" max="12000" width="62" style="7" customWidth="1"/>
    <col min="12001" max="12004" width="10.42578125" style="7" customWidth="1"/>
    <col min="12005" max="12255" width="9.140625" style="7"/>
    <col min="12256" max="12256" width="62" style="7" customWidth="1"/>
    <col min="12257" max="12260" width="10.42578125" style="7" customWidth="1"/>
    <col min="12261" max="12511" width="9.140625" style="7"/>
    <col min="12512" max="12512" width="62" style="7" customWidth="1"/>
    <col min="12513" max="12516" width="10.42578125" style="7" customWidth="1"/>
    <col min="12517" max="12767" width="9.140625" style="7"/>
    <col min="12768" max="12768" width="62" style="7" customWidth="1"/>
    <col min="12769" max="12772" width="10.42578125" style="7" customWidth="1"/>
    <col min="12773" max="13023" width="9.140625" style="7"/>
    <col min="13024" max="13024" width="62" style="7" customWidth="1"/>
    <col min="13025" max="13028" width="10.42578125" style="7" customWidth="1"/>
    <col min="13029" max="13279" width="9.140625" style="7"/>
    <col min="13280" max="13280" width="62" style="7" customWidth="1"/>
    <col min="13281" max="13284" width="10.42578125" style="7" customWidth="1"/>
    <col min="13285" max="13535" width="9.140625" style="7"/>
    <col min="13536" max="13536" width="62" style="7" customWidth="1"/>
    <col min="13537" max="13540" width="10.42578125" style="7" customWidth="1"/>
    <col min="13541" max="13791" width="9.140625" style="7"/>
    <col min="13792" max="13792" width="62" style="7" customWidth="1"/>
    <col min="13793" max="13796" width="10.42578125" style="7" customWidth="1"/>
    <col min="13797" max="14047" width="9.140625" style="7"/>
    <col min="14048" max="14048" width="62" style="7" customWidth="1"/>
    <col min="14049" max="14052" width="10.42578125" style="7" customWidth="1"/>
    <col min="14053" max="14303" width="9.140625" style="7"/>
    <col min="14304" max="14304" width="62" style="7" customWidth="1"/>
    <col min="14305" max="14308" width="10.42578125" style="7" customWidth="1"/>
    <col min="14309" max="14559" width="9.140625" style="7"/>
    <col min="14560" max="14560" width="62" style="7" customWidth="1"/>
    <col min="14561" max="14564" width="10.42578125" style="7" customWidth="1"/>
    <col min="14565" max="14815" width="9.140625" style="7"/>
    <col min="14816" max="14816" width="62" style="7" customWidth="1"/>
    <col min="14817" max="14820" width="10.42578125" style="7" customWidth="1"/>
    <col min="14821" max="15071" width="9.140625" style="7"/>
    <col min="15072" max="15072" width="62" style="7" customWidth="1"/>
    <col min="15073" max="15076" width="10.42578125" style="7" customWidth="1"/>
    <col min="15077" max="15327" width="9.140625" style="7"/>
    <col min="15328" max="15328" width="62" style="7" customWidth="1"/>
    <col min="15329" max="15332" width="10.42578125" style="7" customWidth="1"/>
    <col min="15333" max="15583" width="9.140625" style="7"/>
    <col min="15584" max="15584" width="62" style="7" customWidth="1"/>
    <col min="15585" max="15588" width="10.42578125" style="7" customWidth="1"/>
    <col min="15589" max="15839" width="9.140625" style="7"/>
    <col min="15840" max="15840" width="62" style="7" customWidth="1"/>
    <col min="15841" max="15844" width="10.42578125" style="7" customWidth="1"/>
    <col min="15845" max="16095" width="9.140625" style="7"/>
    <col min="16096" max="16096" width="62" style="7" customWidth="1"/>
    <col min="16097" max="16100" width="10.42578125" style="7" customWidth="1"/>
    <col min="16101" max="16384" width="9.140625" style="7"/>
  </cols>
  <sheetData>
    <row r="1" spans="1:6" s="6" customFormat="1" ht="28.5" customHeight="1" x14ac:dyDescent="0.2">
      <c r="A1" s="4" t="s">
        <v>57</v>
      </c>
      <c r="B1" s="5"/>
      <c r="C1" s="5"/>
      <c r="D1" s="5"/>
      <c r="E1" s="5"/>
    </row>
    <row r="2" spans="1:6" s="10" customFormat="1" ht="19.5" customHeight="1" x14ac:dyDescent="0.2">
      <c r="D2" s="34" t="s">
        <v>11</v>
      </c>
      <c r="E2" s="35"/>
    </row>
    <row r="3" spans="1:6" s="13" customFormat="1" ht="68.25" customHeight="1" x14ac:dyDescent="0.2">
      <c r="A3" s="11"/>
      <c r="B3" s="12" t="s">
        <v>58</v>
      </c>
      <c r="C3" s="12" t="s">
        <v>59</v>
      </c>
      <c r="D3" s="12" t="s">
        <v>60</v>
      </c>
      <c r="E3" s="12" t="s">
        <v>61</v>
      </c>
    </row>
    <row r="4" spans="1:6" s="13" customFormat="1" ht="19.5" customHeight="1" x14ac:dyDescent="0.2">
      <c r="A4" s="16" t="s">
        <v>55</v>
      </c>
      <c r="B4" s="17">
        <v>115.41</v>
      </c>
      <c r="C4" s="17">
        <v>95.75</v>
      </c>
      <c r="D4" s="17">
        <v>125.95</v>
      </c>
      <c r="E4" s="17">
        <v>125.95</v>
      </c>
      <c r="F4" s="22"/>
    </row>
    <row r="5" spans="1:6" s="13" customFormat="1" ht="19.5" customHeight="1" x14ac:dyDescent="0.25">
      <c r="A5" s="25" t="s">
        <v>63</v>
      </c>
      <c r="B5" s="17">
        <v>64.5</v>
      </c>
      <c r="C5" s="17">
        <v>100.05</v>
      </c>
      <c r="D5" s="17">
        <v>60.64</v>
      </c>
      <c r="E5" s="17">
        <v>60.64</v>
      </c>
      <c r="F5" s="22"/>
    </row>
    <row r="6" spans="1:6" s="13" customFormat="1" ht="19.5" customHeight="1" x14ac:dyDescent="0.25">
      <c r="A6" s="26" t="s">
        <v>64</v>
      </c>
      <c r="B6" s="19">
        <v>64.5</v>
      </c>
      <c r="C6" s="19">
        <v>100.05</v>
      </c>
      <c r="D6" s="19">
        <v>60.64</v>
      </c>
      <c r="E6" s="19">
        <v>60.64</v>
      </c>
      <c r="F6" s="22"/>
    </row>
    <row r="7" spans="1:6" s="10" customFormat="1" ht="19.5" customHeight="1" x14ac:dyDescent="0.2">
      <c r="A7" s="14" t="s">
        <v>52</v>
      </c>
      <c r="B7" s="17">
        <v>115.73</v>
      </c>
      <c r="C7" s="17">
        <v>95.63</v>
      </c>
      <c r="D7" s="17">
        <v>126.57</v>
      </c>
      <c r="E7" s="17">
        <v>126.57</v>
      </c>
      <c r="F7" s="22"/>
    </row>
    <row r="8" spans="1:6" s="10" customFormat="1" ht="19.5" customHeight="1" x14ac:dyDescent="0.2">
      <c r="A8" s="18" t="s">
        <v>12</v>
      </c>
      <c r="B8" s="19">
        <v>132.09</v>
      </c>
      <c r="C8" s="19">
        <v>95.37</v>
      </c>
      <c r="D8" s="19">
        <v>125.86</v>
      </c>
      <c r="E8" s="19">
        <v>125.86</v>
      </c>
      <c r="F8" s="23"/>
    </row>
    <row r="9" spans="1:6" s="21" customFormat="1" ht="19.5" customHeight="1" x14ac:dyDescent="0.2">
      <c r="A9" s="18" t="s">
        <v>13</v>
      </c>
      <c r="B9" s="19">
        <v>256.47000000000003</v>
      </c>
      <c r="C9" s="19">
        <v>102.49</v>
      </c>
      <c r="D9" s="19">
        <v>357.51</v>
      </c>
      <c r="E9" s="19">
        <v>357.51</v>
      </c>
      <c r="F9" s="23"/>
    </row>
    <row r="10" spans="1:6" s="21" customFormat="1" ht="19.5" customHeight="1" x14ac:dyDescent="0.2">
      <c r="A10" s="18" t="s">
        <v>14</v>
      </c>
      <c r="B10" s="19">
        <v>78.540000000000006</v>
      </c>
      <c r="C10" s="19">
        <v>83.95</v>
      </c>
      <c r="D10" s="19">
        <v>99.46</v>
      </c>
      <c r="E10" s="19">
        <v>99.46</v>
      </c>
      <c r="F10" s="23"/>
    </row>
    <row r="11" spans="1:6" s="21" customFormat="1" ht="19.5" customHeight="1" x14ac:dyDescent="0.2">
      <c r="A11" s="18" t="s">
        <v>15</v>
      </c>
      <c r="B11" s="19">
        <v>116.22</v>
      </c>
      <c r="C11" s="19">
        <v>99.92</v>
      </c>
      <c r="D11" s="19">
        <v>123.95</v>
      </c>
      <c r="E11" s="19">
        <v>123.95</v>
      </c>
      <c r="F11" s="23"/>
    </row>
    <row r="12" spans="1:6" s="21" customFormat="1" ht="19.5" customHeight="1" x14ac:dyDescent="0.2">
      <c r="A12" s="18" t="s">
        <v>16</v>
      </c>
      <c r="B12" s="19">
        <v>146.22999999999999</v>
      </c>
      <c r="C12" s="19">
        <v>90.29</v>
      </c>
      <c r="D12" s="19">
        <v>150.96</v>
      </c>
      <c r="E12" s="19">
        <v>150.96</v>
      </c>
      <c r="F12" s="23"/>
    </row>
    <row r="13" spans="1:6" s="21" customFormat="1" ht="19.5" customHeight="1" x14ac:dyDescent="0.2">
      <c r="A13" s="18" t="s">
        <v>17</v>
      </c>
      <c r="B13" s="19">
        <v>105.28</v>
      </c>
      <c r="C13" s="19">
        <v>96.19</v>
      </c>
      <c r="D13" s="19">
        <v>105.34</v>
      </c>
      <c r="E13" s="19">
        <v>105.34</v>
      </c>
      <c r="F13" s="23"/>
    </row>
    <row r="14" spans="1:6" s="21" customFormat="1" ht="45" x14ac:dyDescent="0.2">
      <c r="A14" s="18" t="s">
        <v>18</v>
      </c>
      <c r="B14" s="19">
        <v>86.13</v>
      </c>
      <c r="C14" s="19">
        <v>105.04</v>
      </c>
      <c r="D14" s="19">
        <v>112.4</v>
      </c>
      <c r="E14" s="19">
        <v>112.4</v>
      </c>
      <c r="F14" s="23"/>
    </row>
    <row r="15" spans="1:6" s="21" customFormat="1" ht="19.5" customHeight="1" x14ac:dyDescent="0.2">
      <c r="A15" s="18" t="s">
        <v>19</v>
      </c>
      <c r="B15" s="19">
        <v>98.16</v>
      </c>
      <c r="C15" s="19">
        <v>102.75</v>
      </c>
      <c r="D15" s="19">
        <v>136.9</v>
      </c>
      <c r="E15" s="19">
        <v>136.9</v>
      </c>
      <c r="F15" s="23"/>
    </row>
    <row r="16" spans="1:6" s="21" customFormat="1" ht="19.5" customHeight="1" x14ac:dyDescent="0.2">
      <c r="A16" s="18" t="s">
        <v>20</v>
      </c>
      <c r="B16" s="19">
        <v>86.68</v>
      </c>
      <c r="C16" s="19">
        <v>90.77</v>
      </c>
      <c r="D16" s="19">
        <v>171.87</v>
      </c>
      <c r="E16" s="19">
        <v>171.87</v>
      </c>
      <c r="F16" s="23"/>
    </row>
    <row r="17" spans="1:6" s="21" customFormat="1" ht="19.5" customHeight="1" x14ac:dyDescent="0.2">
      <c r="A17" s="18" t="s">
        <v>21</v>
      </c>
      <c r="B17" s="19">
        <v>110.28</v>
      </c>
      <c r="C17" s="19">
        <v>72.349999999999994</v>
      </c>
      <c r="D17" s="19">
        <v>128.57</v>
      </c>
      <c r="E17" s="19">
        <v>128.57</v>
      </c>
      <c r="F17" s="23"/>
    </row>
    <row r="18" spans="1:6" s="21" customFormat="1" ht="19.5" customHeight="1" x14ac:dyDescent="0.2">
      <c r="A18" s="18" t="s">
        <v>45</v>
      </c>
      <c r="B18" s="19">
        <v>104.94</v>
      </c>
      <c r="C18" s="19">
        <v>112.72</v>
      </c>
      <c r="D18" s="19">
        <v>130.16999999999999</v>
      </c>
      <c r="E18" s="19">
        <v>130.16999999999999</v>
      </c>
      <c r="F18" s="23"/>
    </row>
    <row r="19" spans="1:6" s="21" customFormat="1" ht="19.5" customHeight="1" x14ac:dyDescent="0.2">
      <c r="A19" s="18" t="s">
        <v>46</v>
      </c>
      <c r="B19" s="19">
        <v>113.56</v>
      </c>
      <c r="C19" s="19">
        <v>106.55</v>
      </c>
      <c r="D19" s="19">
        <v>162.04</v>
      </c>
      <c r="E19" s="19">
        <v>162.04</v>
      </c>
      <c r="F19" s="23"/>
    </row>
    <row r="20" spans="1:6" s="21" customFormat="1" ht="19.5" customHeight="1" x14ac:dyDescent="0.2">
      <c r="A20" s="18" t="s">
        <v>22</v>
      </c>
      <c r="B20" s="19">
        <v>101.28</v>
      </c>
      <c r="C20" s="19">
        <v>99.92</v>
      </c>
      <c r="D20" s="19">
        <v>119.94</v>
      </c>
      <c r="E20" s="19">
        <v>119.94</v>
      </c>
      <c r="F20" s="23"/>
    </row>
    <row r="21" spans="1:6" s="21" customFormat="1" ht="19.5" customHeight="1" x14ac:dyDescent="0.2">
      <c r="A21" s="18" t="s">
        <v>23</v>
      </c>
      <c r="B21" s="19">
        <v>119.23</v>
      </c>
      <c r="C21" s="19">
        <v>99.1</v>
      </c>
      <c r="D21" s="19">
        <v>135.51</v>
      </c>
      <c r="E21" s="19">
        <v>135.51</v>
      </c>
      <c r="F21" s="23"/>
    </row>
    <row r="22" spans="1:6" s="21" customFormat="1" ht="19.5" customHeight="1" x14ac:dyDescent="0.2">
      <c r="A22" s="18" t="s">
        <v>24</v>
      </c>
      <c r="B22" s="19">
        <v>98.2</v>
      </c>
      <c r="C22" s="19">
        <v>97.82</v>
      </c>
      <c r="D22" s="19">
        <v>106.07</v>
      </c>
      <c r="E22" s="19">
        <v>106.07</v>
      </c>
      <c r="F22" s="23"/>
    </row>
    <row r="23" spans="1:6" s="21" customFormat="1" ht="30" x14ac:dyDescent="0.2">
      <c r="A23" s="18" t="s">
        <v>25</v>
      </c>
      <c r="B23" s="19">
        <v>64.349999999999994</v>
      </c>
      <c r="C23" s="19">
        <v>92.65</v>
      </c>
      <c r="D23" s="19">
        <v>118.65</v>
      </c>
      <c r="E23" s="19">
        <v>118.65</v>
      </c>
      <c r="F23" s="23"/>
    </row>
    <row r="24" spans="1:6" s="21" customFormat="1" ht="30" x14ac:dyDescent="0.2">
      <c r="A24" s="18" t="s">
        <v>47</v>
      </c>
      <c r="B24" s="19">
        <v>108.65</v>
      </c>
      <c r="C24" s="19">
        <v>95.12</v>
      </c>
      <c r="D24" s="19">
        <v>125.69</v>
      </c>
      <c r="E24" s="19">
        <v>125.69</v>
      </c>
      <c r="F24" s="23"/>
    </row>
    <row r="25" spans="1:6" s="21" customFormat="1" ht="19.5" customHeight="1" x14ac:dyDescent="0.2">
      <c r="A25" s="18" t="s">
        <v>26</v>
      </c>
      <c r="B25" s="19">
        <v>158.37</v>
      </c>
      <c r="C25" s="19">
        <v>86.48</v>
      </c>
      <c r="D25" s="19">
        <v>157.16</v>
      </c>
      <c r="E25" s="19">
        <v>157.16</v>
      </c>
      <c r="F25" s="23"/>
    </row>
    <row r="26" spans="1:6" s="21" customFormat="1" ht="19.5" customHeight="1" x14ac:dyDescent="0.2">
      <c r="A26" s="18" t="s">
        <v>27</v>
      </c>
      <c r="B26" s="19">
        <v>59.38</v>
      </c>
      <c r="C26" s="19">
        <v>82.38</v>
      </c>
      <c r="D26" s="19">
        <v>65.75</v>
      </c>
      <c r="E26" s="19">
        <v>65.75</v>
      </c>
      <c r="F26" s="23"/>
    </row>
    <row r="27" spans="1:6" s="21" customFormat="1" ht="19.5" customHeight="1" x14ac:dyDescent="0.2">
      <c r="A27" s="18" t="s">
        <v>28</v>
      </c>
      <c r="B27" s="19">
        <v>208.62</v>
      </c>
      <c r="C27" s="19">
        <v>57.85</v>
      </c>
      <c r="D27" s="19">
        <v>259.26</v>
      </c>
      <c r="E27" s="19">
        <v>259.26</v>
      </c>
      <c r="F27" s="23"/>
    </row>
    <row r="28" spans="1:6" s="21" customFormat="1" ht="19.5" customHeight="1" x14ac:dyDescent="0.2">
      <c r="A28" s="18" t="s">
        <v>29</v>
      </c>
      <c r="B28" s="19">
        <v>134.91999999999999</v>
      </c>
      <c r="C28" s="19">
        <v>98.06</v>
      </c>
      <c r="D28" s="19">
        <v>148.94999999999999</v>
      </c>
      <c r="E28" s="19">
        <v>148.94999999999999</v>
      </c>
      <c r="F28" s="23"/>
    </row>
    <row r="29" spans="1:6" s="20" customFormat="1" ht="19.5" customHeight="1" x14ac:dyDescent="0.2">
      <c r="A29" s="18" t="s">
        <v>30</v>
      </c>
      <c r="B29" s="19">
        <v>99.38</v>
      </c>
      <c r="C29" s="19">
        <v>95.65</v>
      </c>
      <c r="D29" s="19">
        <v>139.13</v>
      </c>
      <c r="E29" s="19">
        <v>139.13</v>
      </c>
      <c r="F29" s="23"/>
    </row>
    <row r="30" spans="1:6" s="20" customFormat="1" ht="19.5" customHeight="1" x14ac:dyDescent="0.2">
      <c r="A30" s="18" t="s">
        <v>62</v>
      </c>
      <c r="B30" s="19">
        <v>115.45</v>
      </c>
      <c r="C30" s="19">
        <v>87.6</v>
      </c>
      <c r="D30" s="19">
        <v>118.21</v>
      </c>
      <c r="E30" s="19">
        <v>118.21</v>
      </c>
      <c r="F30" s="23"/>
    </row>
    <row r="31" spans="1:6" s="20" customFormat="1" ht="19.5" customHeight="1" x14ac:dyDescent="0.2">
      <c r="A31" s="18" t="s">
        <v>31</v>
      </c>
      <c r="B31" s="19">
        <v>41.76</v>
      </c>
      <c r="C31" s="19">
        <v>62.88</v>
      </c>
      <c r="D31" s="19">
        <v>191.86</v>
      </c>
      <c r="E31" s="19">
        <v>191.86</v>
      </c>
      <c r="F31" s="23"/>
    </row>
    <row r="32" spans="1:6" s="15" customFormat="1" ht="33.75" customHeight="1" x14ac:dyDescent="0.2">
      <c r="A32" s="14" t="s">
        <v>48</v>
      </c>
      <c r="B32" s="17">
        <v>110.66</v>
      </c>
      <c r="C32" s="17">
        <v>99</v>
      </c>
      <c r="D32" s="17">
        <v>116.58</v>
      </c>
      <c r="E32" s="17">
        <v>116.58</v>
      </c>
      <c r="F32" s="22"/>
    </row>
    <row r="33" spans="1:6" s="20" customFormat="1" ht="33.75" customHeight="1" x14ac:dyDescent="0.2">
      <c r="A33" s="18" t="s">
        <v>48</v>
      </c>
      <c r="B33" s="19">
        <v>110.66</v>
      </c>
      <c r="C33" s="19">
        <v>99</v>
      </c>
      <c r="D33" s="19">
        <v>116.58</v>
      </c>
      <c r="E33" s="19">
        <v>116.58</v>
      </c>
      <c r="F33" s="23"/>
    </row>
    <row r="34" spans="1:6" s="10" customFormat="1" ht="28.5" x14ac:dyDescent="0.2">
      <c r="A34" s="14" t="s">
        <v>32</v>
      </c>
      <c r="B34" s="17">
        <v>103.42</v>
      </c>
      <c r="C34" s="17">
        <v>96.26</v>
      </c>
      <c r="D34" s="17">
        <v>104.81</v>
      </c>
      <c r="E34" s="17">
        <v>104.81</v>
      </c>
      <c r="F34" s="22"/>
    </row>
    <row r="35" spans="1:6" s="20" customFormat="1" ht="19.5" customHeight="1" x14ac:dyDescent="0.2">
      <c r="A35" s="18" t="s">
        <v>33</v>
      </c>
      <c r="B35" s="19">
        <v>127.76</v>
      </c>
      <c r="C35" s="19">
        <v>93.23</v>
      </c>
      <c r="D35" s="19">
        <v>114.2</v>
      </c>
      <c r="E35" s="19">
        <v>114.2</v>
      </c>
      <c r="F35" s="23"/>
    </row>
    <row r="36" spans="1:6" s="20" customFormat="1" ht="19.5" customHeight="1" x14ac:dyDescent="0.2">
      <c r="A36" s="18" t="s">
        <v>34</v>
      </c>
      <c r="B36" s="19">
        <v>89.6</v>
      </c>
      <c r="C36" s="19">
        <v>101.82</v>
      </c>
      <c r="D36" s="19">
        <v>99.9</v>
      </c>
      <c r="E36" s="19">
        <v>99.9</v>
      </c>
      <c r="F36" s="23"/>
    </row>
    <row r="37" spans="1:6" s="20" customFormat="1" ht="30" x14ac:dyDescent="0.2">
      <c r="A37" s="18" t="s">
        <v>49</v>
      </c>
      <c r="B37" s="19">
        <v>68.05</v>
      </c>
      <c r="C37" s="19">
        <v>102.37</v>
      </c>
      <c r="D37" s="19">
        <v>86.45</v>
      </c>
      <c r="E37" s="19">
        <v>86.45</v>
      </c>
      <c r="F37" s="23"/>
    </row>
    <row r="38" spans="1:6" s="8" customFormat="1" ht="5.25" customHeight="1" x14ac:dyDescent="0.2">
      <c r="A38" s="24"/>
      <c r="B38" s="24"/>
      <c r="C38" s="24"/>
      <c r="D38" s="24"/>
      <c r="E38" s="24"/>
    </row>
  </sheetData>
  <mergeCells count="1">
    <mergeCell ref="D2:E2"/>
  </mergeCells>
  <printOptions horizontalCentered="1"/>
  <pageMargins left="0.59055118110236227" right="0.39370078740157483" top="0.39370078740157483" bottom="0.39370078740157483" header="0.11811023622047245" footer="0.11811023622047245"/>
  <pageSetup paperSize="9" scale="95" firstPageNumber="16" orientation="portrait" useFirstPageNumber="1" r:id="rId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34" workbookViewId="0">
      <selection activeCell="K9" sqref="K9"/>
    </sheetView>
  </sheetViews>
  <sheetFormatPr defaultRowHeight="12.75" x14ac:dyDescent="0.2"/>
  <cols>
    <col min="1" max="1" width="38" style="1" customWidth="1"/>
    <col min="2" max="2" width="10.5703125" style="1" customWidth="1"/>
    <col min="3" max="4" width="9.7109375" style="1" customWidth="1"/>
    <col min="5" max="5" width="10.7109375" style="1" customWidth="1"/>
    <col min="6" max="7" width="10" style="1" customWidth="1"/>
    <col min="8" max="8" width="9.140625" style="1"/>
    <col min="9" max="10" width="11.42578125" style="1" bestFit="1" customWidth="1"/>
    <col min="11" max="212" width="9.140625" style="1"/>
    <col min="213" max="213" width="46.5703125" style="1" customWidth="1"/>
    <col min="214" max="214" width="9.5703125" style="1" customWidth="1"/>
    <col min="215" max="216" width="9.7109375" style="1" customWidth="1"/>
    <col min="217" max="217" width="10.7109375" style="1" customWidth="1"/>
    <col min="218" max="219" width="10" style="1" customWidth="1"/>
    <col min="220" max="468" width="9.140625" style="1"/>
    <col min="469" max="469" width="46.5703125" style="1" customWidth="1"/>
    <col min="470" max="470" width="9.5703125" style="1" customWidth="1"/>
    <col min="471" max="472" width="9.7109375" style="1" customWidth="1"/>
    <col min="473" max="473" width="10.7109375" style="1" customWidth="1"/>
    <col min="474" max="475" width="10" style="1" customWidth="1"/>
    <col min="476" max="724" width="9.140625" style="1"/>
    <col min="725" max="725" width="46.5703125" style="1" customWidth="1"/>
    <col min="726" max="726" width="9.5703125" style="1" customWidth="1"/>
    <col min="727" max="728" width="9.7109375" style="1" customWidth="1"/>
    <col min="729" max="729" width="10.7109375" style="1" customWidth="1"/>
    <col min="730" max="731" width="10" style="1" customWidth="1"/>
    <col min="732" max="980" width="9.140625" style="1"/>
    <col min="981" max="981" width="46.5703125" style="1" customWidth="1"/>
    <col min="982" max="982" width="9.5703125" style="1" customWidth="1"/>
    <col min="983" max="984" width="9.7109375" style="1" customWidth="1"/>
    <col min="985" max="985" width="10.7109375" style="1" customWidth="1"/>
    <col min="986" max="987" width="10" style="1" customWidth="1"/>
    <col min="988" max="1236" width="9.140625" style="1"/>
    <col min="1237" max="1237" width="46.5703125" style="1" customWidth="1"/>
    <col min="1238" max="1238" width="9.5703125" style="1" customWidth="1"/>
    <col min="1239" max="1240" width="9.7109375" style="1" customWidth="1"/>
    <col min="1241" max="1241" width="10.7109375" style="1" customWidth="1"/>
    <col min="1242" max="1243" width="10" style="1" customWidth="1"/>
    <col min="1244" max="1492" width="9.140625" style="1"/>
    <col min="1493" max="1493" width="46.5703125" style="1" customWidth="1"/>
    <col min="1494" max="1494" width="9.5703125" style="1" customWidth="1"/>
    <col min="1495" max="1496" width="9.7109375" style="1" customWidth="1"/>
    <col min="1497" max="1497" width="10.7109375" style="1" customWidth="1"/>
    <col min="1498" max="1499" width="10" style="1" customWidth="1"/>
    <col min="1500" max="1748" width="9.140625" style="1"/>
    <col min="1749" max="1749" width="46.5703125" style="1" customWidth="1"/>
    <col min="1750" max="1750" width="9.5703125" style="1" customWidth="1"/>
    <col min="1751" max="1752" width="9.7109375" style="1" customWidth="1"/>
    <col min="1753" max="1753" width="10.7109375" style="1" customWidth="1"/>
    <col min="1754" max="1755" width="10" style="1" customWidth="1"/>
    <col min="1756" max="2004" width="9.140625" style="1"/>
    <col min="2005" max="2005" width="46.5703125" style="1" customWidth="1"/>
    <col min="2006" max="2006" width="9.5703125" style="1" customWidth="1"/>
    <col min="2007" max="2008" width="9.7109375" style="1" customWidth="1"/>
    <col min="2009" max="2009" width="10.7109375" style="1" customWidth="1"/>
    <col min="2010" max="2011" width="10" style="1" customWidth="1"/>
    <col min="2012" max="2260" width="9.140625" style="1"/>
    <col min="2261" max="2261" width="46.5703125" style="1" customWidth="1"/>
    <col min="2262" max="2262" width="9.5703125" style="1" customWidth="1"/>
    <col min="2263" max="2264" width="9.7109375" style="1" customWidth="1"/>
    <col min="2265" max="2265" width="10.7109375" style="1" customWidth="1"/>
    <col min="2266" max="2267" width="10" style="1" customWidth="1"/>
    <col min="2268" max="2516" width="9.140625" style="1"/>
    <col min="2517" max="2517" width="46.5703125" style="1" customWidth="1"/>
    <col min="2518" max="2518" width="9.5703125" style="1" customWidth="1"/>
    <col min="2519" max="2520" width="9.7109375" style="1" customWidth="1"/>
    <col min="2521" max="2521" width="10.7109375" style="1" customWidth="1"/>
    <col min="2522" max="2523" width="10" style="1" customWidth="1"/>
    <col min="2524" max="2772" width="9.140625" style="1"/>
    <col min="2773" max="2773" width="46.5703125" style="1" customWidth="1"/>
    <col min="2774" max="2774" width="9.5703125" style="1" customWidth="1"/>
    <col min="2775" max="2776" width="9.7109375" style="1" customWidth="1"/>
    <col min="2777" max="2777" width="10.7109375" style="1" customWidth="1"/>
    <col min="2778" max="2779" width="10" style="1" customWidth="1"/>
    <col min="2780" max="3028" width="9.140625" style="1"/>
    <col min="3029" max="3029" width="46.5703125" style="1" customWidth="1"/>
    <col min="3030" max="3030" width="9.5703125" style="1" customWidth="1"/>
    <col min="3031" max="3032" width="9.7109375" style="1" customWidth="1"/>
    <col min="3033" max="3033" width="10.7109375" style="1" customWidth="1"/>
    <col min="3034" max="3035" width="10" style="1" customWidth="1"/>
    <col min="3036" max="3284" width="9.140625" style="1"/>
    <col min="3285" max="3285" width="46.5703125" style="1" customWidth="1"/>
    <col min="3286" max="3286" width="9.5703125" style="1" customWidth="1"/>
    <col min="3287" max="3288" width="9.7109375" style="1" customWidth="1"/>
    <col min="3289" max="3289" width="10.7109375" style="1" customWidth="1"/>
    <col min="3290" max="3291" width="10" style="1" customWidth="1"/>
    <col min="3292" max="3540" width="9.140625" style="1"/>
    <col min="3541" max="3541" width="46.5703125" style="1" customWidth="1"/>
    <col min="3542" max="3542" width="9.5703125" style="1" customWidth="1"/>
    <col min="3543" max="3544" width="9.7109375" style="1" customWidth="1"/>
    <col min="3545" max="3545" width="10.7109375" style="1" customWidth="1"/>
    <col min="3546" max="3547" width="10" style="1" customWidth="1"/>
    <col min="3548" max="3796" width="9.140625" style="1"/>
    <col min="3797" max="3797" width="46.5703125" style="1" customWidth="1"/>
    <col min="3798" max="3798" width="9.5703125" style="1" customWidth="1"/>
    <col min="3799" max="3800" width="9.7109375" style="1" customWidth="1"/>
    <col min="3801" max="3801" width="10.7109375" style="1" customWidth="1"/>
    <col min="3802" max="3803" width="10" style="1" customWidth="1"/>
    <col min="3804" max="4052" width="9.140625" style="1"/>
    <col min="4053" max="4053" width="46.5703125" style="1" customWidth="1"/>
    <col min="4054" max="4054" width="9.5703125" style="1" customWidth="1"/>
    <col min="4055" max="4056" width="9.7109375" style="1" customWidth="1"/>
    <col min="4057" max="4057" width="10.7109375" style="1" customWidth="1"/>
    <col min="4058" max="4059" width="10" style="1" customWidth="1"/>
    <col min="4060" max="4308" width="9.140625" style="1"/>
    <col min="4309" max="4309" width="46.5703125" style="1" customWidth="1"/>
    <col min="4310" max="4310" width="9.5703125" style="1" customWidth="1"/>
    <col min="4311" max="4312" width="9.7109375" style="1" customWidth="1"/>
    <col min="4313" max="4313" width="10.7109375" style="1" customWidth="1"/>
    <col min="4314" max="4315" width="10" style="1" customWidth="1"/>
    <col min="4316" max="4564" width="9.140625" style="1"/>
    <col min="4565" max="4565" width="46.5703125" style="1" customWidth="1"/>
    <col min="4566" max="4566" width="9.5703125" style="1" customWidth="1"/>
    <col min="4567" max="4568" width="9.7109375" style="1" customWidth="1"/>
    <col min="4569" max="4569" width="10.7109375" style="1" customWidth="1"/>
    <col min="4570" max="4571" width="10" style="1" customWidth="1"/>
    <col min="4572" max="4820" width="9.140625" style="1"/>
    <col min="4821" max="4821" width="46.5703125" style="1" customWidth="1"/>
    <col min="4822" max="4822" width="9.5703125" style="1" customWidth="1"/>
    <col min="4823" max="4824" width="9.7109375" style="1" customWidth="1"/>
    <col min="4825" max="4825" width="10.7109375" style="1" customWidth="1"/>
    <col min="4826" max="4827" width="10" style="1" customWidth="1"/>
    <col min="4828" max="5076" width="9.140625" style="1"/>
    <col min="5077" max="5077" width="46.5703125" style="1" customWidth="1"/>
    <col min="5078" max="5078" width="9.5703125" style="1" customWidth="1"/>
    <col min="5079" max="5080" width="9.7109375" style="1" customWidth="1"/>
    <col min="5081" max="5081" width="10.7109375" style="1" customWidth="1"/>
    <col min="5082" max="5083" width="10" style="1" customWidth="1"/>
    <col min="5084" max="5332" width="9.140625" style="1"/>
    <col min="5333" max="5333" width="46.5703125" style="1" customWidth="1"/>
    <col min="5334" max="5334" width="9.5703125" style="1" customWidth="1"/>
    <col min="5335" max="5336" width="9.7109375" style="1" customWidth="1"/>
    <col min="5337" max="5337" width="10.7109375" style="1" customWidth="1"/>
    <col min="5338" max="5339" width="10" style="1" customWidth="1"/>
    <col min="5340" max="5588" width="9.140625" style="1"/>
    <col min="5589" max="5589" width="46.5703125" style="1" customWidth="1"/>
    <col min="5590" max="5590" width="9.5703125" style="1" customWidth="1"/>
    <col min="5591" max="5592" width="9.7109375" style="1" customWidth="1"/>
    <col min="5593" max="5593" width="10.7109375" style="1" customWidth="1"/>
    <col min="5594" max="5595" width="10" style="1" customWidth="1"/>
    <col min="5596" max="5844" width="9.140625" style="1"/>
    <col min="5845" max="5845" width="46.5703125" style="1" customWidth="1"/>
    <col min="5846" max="5846" width="9.5703125" style="1" customWidth="1"/>
    <col min="5847" max="5848" width="9.7109375" style="1" customWidth="1"/>
    <col min="5849" max="5849" width="10.7109375" style="1" customWidth="1"/>
    <col min="5850" max="5851" width="10" style="1" customWidth="1"/>
    <col min="5852" max="6100" width="9.140625" style="1"/>
    <col min="6101" max="6101" width="46.5703125" style="1" customWidth="1"/>
    <col min="6102" max="6102" width="9.5703125" style="1" customWidth="1"/>
    <col min="6103" max="6104" width="9.7109375" style="1" customWidth="1"/>
    <col min="6105" max="6105" width="10.7109375" style="1" customWidth="1"/>
    <col min="6106" max="6107" width="10" style="1" customWidth="1"/>
    <col min="6108" max="6356" width="9.140625" style="1"/>
    <col min="6357" max="6357" width="46.5703125" style="1" customWidth="1"/>
    <col min="6358" max="6358" width="9.5703125" style="1" customWidth="1"/>
    <col min="6359" max="6360" width="9.7109375" style="1" customWidth="1"/>
    <col min="6361" max="6361" width="10.7109375" style="1" customWidth="1"/>
    <col min="6362" max="6363" width="10" style="1" customWidth="1"/>
    <col min="6364" max="6612" width="9.140625" style="1"/>
    <col min="6613" max="6613" width="46.5703125" style="1" customWidth="1"/>
    <col min="6614" max="6614" width="9.5703125" style="1" customWidth="1"/>
    <col min="6615" max="6616" width="9.7109375" style="1" customWidth="1"/>
    <col min="6617" max="6617" width="10.7109375" style="1" customWidth="1"/>
    <col min="6618" max="6619" width="10" style="1" customWidth="1"/>
    <col min="6620" max="6868" width="9.140625" style="1"/>
    <col min="6869" max="6869" width="46.5703125" style="1" customWidth="1"/>
    <col min="6870" max="6870" width="9.5703125" style="1" customWidth="1"/>
    <col min="6871" max="6872" width="9.7109375" style="1" customWidth="1"/>
    <col min="6873" max="6873" width="10.7109375" style="1" customWidth="1"/>
    <col min="6874" max="6875" width="10" style="1" customWidth="1"/>
    <col min="6876" max="7124" width="9.140625" style="1"/>
    <col min="7125" max="7125" width="46.5703125" style="1" customWidth="1"/>
    <col min="7126" max="7126" width="9.5703125" style="1" customWidth="1"/>
    <col min="7127" max="7128" width="9.7109375" style="1" customWidth="1"/>
    <col min="7129" max="7129" width="10.7109375" style="1" customWidth="1"/>
    <col min="7130" max="7131" width="10" style="1" customWidth="1"/>
    <col min="7132" max="7380" width="9.140625" style="1"/>
    <col min="7381" max="7381" width="46.5703125" style="1" customWidth="1"/>
    <col min="7382" max="7382" width="9.5703125" style="1" customWidth="1"/>
    <col min="7383" max="7384" width="9.7109375" style="1" customWidth="1"/>
    <col min="7385" max="7385" width="10.7109375" style="1" customWidth="1"/>
    <col min="7386" max="7387" width="10" style="1" customWidth="1"/>
    <col min="7388" max="7636" width="9.140625" style="1"/>
    <col min="7637" max="7637" width="46.5703125" style="1" customWidth="1"/>
    <col min="7638" max="7638" width="9.5703125" style="1" customWidth="1"/>
    <col min="7639" max="7640" width="9.7109375" style="1" customWidth="1"/>
    <col min="7641" max="7641" width="10.7109375" style="1" customWidth="1"/>
    <col min="7642" max="7643" width="10" style="1" customWidth="1"/>
    <col min="7644" max="7892" width="9.140625" style="1"/>
    <col min="7893" max="7893" width="46.5703125" style="1" customWidth="1"/>
    <col min="7894" max="7894" width="9.5703125" style="1" customWidth="1"/>
    <col min="7895" max="7896" width="9.7109375" style="1" customWidth="1"/>
    <col min="7897" max="7897" width="10.7109375" style="1" customWidth="1"/>
    <col min="7898" max="7899" width="10" style="1" customWidth="1"/>
    <col min="7900" max="8148" width="9.140625" style="1"/>
    <col min="8149" max="8149" width="46.5703125" style="1" customWidth="1"/>
    <col min="8150" max="8150" width="9.5703125" style="1" customWidth="1"/>
    <col min="8151" max="8152" width="9.7109375" style="1" customWidth="1"/>
    <col min="8153" max="8153" width="10.7109375" style="1" customWidth="1"/>
    <col min="8154" max="8155" width="10" style="1" customWidth="1"/>
    <col min="8156" max="8404" width="9.140625" style="1"/>
    <col min="8405" max="8405" width="46.5703125" style="1" customWidth="1"/>
    <col min="8406" max="8406" width="9.5703125" style="1" customWidth="1"/>
    <col min="8407" max="8408" width="9.7109375" style="1" customWidth="1"/>
    <col min="8409" max="8409" width="10.7109375" style="1" customWidth="1"/>
    <col min="8410" max="8411" width="10" style="1" customWidth="1"/>
    <col min="8412" max="8660" width="9.140625" style="1"/>
    <col min="8661" max="8661" width="46.5703125" style="1" customWidth="1"/>
    <col min="8662" max="8662" width="9.5703125" style="1" customWidth="1"/>
    <col min="8663" max="8664" width="9.7109375" style="1" customWidth="1"/>
    <col min="8665" max="8665" width="10.7109375" style="1" customWidth="1"/>
    <col min="8666" max="8667" width="10" style="1" customWidth="1"/>
    <col min="8668" max="8916" width="9.140625" style="1"/>
    <col min="8917" max="8917" width="46.5703125" style="1" customWidth="1"/>
    <col min="8918" max="8918" width="9.5703125" style="1" customWidth="1"/>
    <col min="8919" max="8920" width="9.7109375" style="1" customWidth="1"/>
    <col min="8921" max="8921" width="10.7109375" style="1" customWidth="1"/>
    <col min="8922" max="8923" width="10" style="1" customWidth="1"/>
    <col min="8924" max="9172" width="9.140625" style="1"/>
    <col min="9173" max="9173" width="46.5703125" style="1" customWidth="1"/>
    <col min="9174" max="9174" width="9.5703125" style="1" customWidth="1"/>
    <col min="9175" max="9176" width="9.7109375" style="1" customWidth="1"/>
    <col min="9177" max="9177" width="10.7109375" style="1" customWidth="1"/>
    <col min="9178" max="9179" width="10" style="1" customWidth="1"/>
    <col min="9180" max="9428" width="9.140625" style="1"/>
    <col min="9429" max="9429" width="46.5703125" style="1" customWidth="1"/>
    <col min="9430" max="9430" width="9.5703125" style="1" customWidth="1"/>
    <col min="9431" max="9432" width="9.7109375" style="1" customWidth="1"/>
    <col min="9433" max="9433" width="10.7109375" style="1" customWidth="1"/>
    <col min="9434" max="9435" width="10" style="1" customWidth="1"/>
    <col min="9436" max="9684" width="9.140625" style="1"/>
    <col min="9685" max="9685" width="46.5703125" style="1" customWidth="1"/>
    <col min="9686" max="9686" width="9.5703125" style="1" customWidth="1"/>
    <col min="9687" max="9688" width="9.7109375" style="1" customWidth="1"/>
    <col min="9689" max="9689" width="10.7109375" style="1" customWidth="1"/>
    <col min="9690" max="9691" width="10" style="1" customWidth="1"/>
    <col min="9692" max="9940" width="9.140625" style="1"/>
    <col min="9941" max="9941" width="46.5703125" style="1" customWidth="1"/>
    <col min="9942" max="9942" width="9.5703125" style="1" customWidth="1"/>
    <col min="9943" max="9944" width="9.7109375" style="1" customWidth="1"/>
    <col min="9945" max="9945" width="10.7109375" style="1" customWidth="1"/>
    <col min="9946" max="9947" width="10" style="1" customWidth="1"/>
    <col min="9948" max="10196" width="9.140625" style="1"/>
    <col min="10197" max="10197" width="46.5703125" style="1" customWidth="1"/>
    <col min="10198" max="10198" width="9.5703125" style="1" customWidth="1"/>
    <col min="10199" max="10200" width="9.7109375" style="1" customWidth="1"/>
    <col min="10201" max="10201" width="10.7109375" style="1" customWidth="1"/>
    <col min="10202" max="10203" width="10" style="1" customWidth="1"/>
    <col min="10204" max="10452" width="9.140625" style="1"/>
    <col min="10453" max="10453" width="46.5703125" style="1" customWidth="1"/>
    <col min="10454" max="10454" width="9.5703125" style="1" customWidth="1"/>
    <col min="10455" max="10456" width="9.7109375" style="1" customWidth="1"/>
    <col min="10457" max="10457" width="10.7109375" style="1" customWidth="1"/>
    <col min="10458" max="10459" width="10" style="1" customWidth="1"/>
    <col min="10460" max="10708" width="9.140625" style="1"/>
    <col min="10709" max="10709" width="46.5703125" style="1" customWidth="1"/>
    <col min="10710" max="10710" width="9.5703125" style="1" customWidth="1"/>
    <col min="10711" max="10712" width="9.7109375" style="1" customWidth="1"/>
    <col min="10713" max="10713" width="10.7109375" style="1" customWidth="1"/>
    <col min="10714" max="10715" width="10" style="1" customWidth="1"/>
    <col min="10716" max="10964" width="9.140625" style="1"/>
    <col min="10965" max="10965" width="46.5703125" style="1" customWidth="1"/>
    <col min="10966" max="10966" width="9.5703125" style="1" customWidth="1"/>
    <col min="10967" max="10968" width="9.7109375" style="1" customWidth="1"/>
    <col min="10969" max="10969" width="10.7109375" style="1" customWidth="1"/>
    <col min="10970" max="10971" width="10" style="1" customWidth="1"/>
    <col min="10972" max="11220" width="9.140625" style="1"/>
    <col min="11221" max="11221" width="46.5703125" style="1" customWidth="1"/>
    <col min="11222" max="11222" width="9.5703125" style="1" customWidth="1"/>
    <col min="11223" max="11224" width="9.7109375" style="1" customWidth="1"/>
    <col min="11225" max="11225" width="10.7109375" style="1" customWidth="1"/>
    <col min="11226" max="11227" width="10" style="1" customWidth="1"/>
    <col min="11228" max="11476" width="9.140625" style="1"/>
    <col min="11477" max="11477" width="46.5703125" style="1" customWidth="1"/>
    <col min="11478" max="11478" width="9.5703125" style="1" customWidth="1"/>
    <col min="11479" max="11480" width="9.7109375" style="1" customWidth="1"/>
    <col min="11481" max="11481" width="10.7109375" style="1" customWidth="1"/>
    <col min="11482" max="11483" width="10" style="1" customWidth="1"/>
    <col min="11484" max="11732" width="9.140625" style="1"/>
    <col min="11733" max="11733" width="46.5703125" style="1" customWidth="1"/>
    <col min="11734" max="11734" width="9.5703125" style="1" customWidth="1"/>
    <col min="11735" max="11736" width="9.7109375" style="1" customWidth="1"/>
    <col min="11737" max="11737" width="10.7109375" style="1" customWidth="1"/>
    <col min="11738" max="11739" width="10" style="1" customWidth="1"/>
    <col min="11740" max="11988" width="9.140625" style="1"/>
    <col min="11989" max="11989" width="46.5703125" style="1" customWidth="1"/>
    <col min="11990" max="11990" width="9.5703125" style="1" customWidth="1"/>
    <col min="11991" max="11992" width="9.7109375" style="1" customWidth="1"/>
    <col min="11993" max="11993" width="10.7109375" style="1" customWidth="1"/>
    <col min="11994" max="11995" width="10" style="1" customWidth="1"/>
    <col min="11996" max="12244" width="9.140625" style="1"/>
    <col min="12245" max="12245" width="46.5703125" style="1" customWidth="1"/>
    <col min="12246" max="12246" width="9.5703125" style="1" customWidth="1"/>
    <col min="12247" max="12248" width="9.7109375" style="1" customWidth="1"/>
    <col min="12249" max="12249" width="10.7109375" style="1" customWidth="1"/>
    <col min="12250" max="12251" width="10" style="1" customWidth="1"/>
    <col min="12252" max="12500" width="9.140625" style="1"/>
    <col min="12501" max="12501" width="46.5703125" style="1" customWidth="1"/>
    <col min="12502" max="12502" width="9.5703125" style="1" customWidth="1"/>
    <col min="12503" max="12504" width="9.7109375" style="1" customWidth="1"/>
    <col min="12505" max="12505" width="10.7109375" style="1" customWidth="1"/>
    <col min="12506" max="12507" width="10" style="1" customWidth="1"/>
    <col min="12508" max="12756" width="9.140625" style="1"/>
    <col min="12757" max="12757" width="46.5703125" style="1" customWidth="1"/>
    <col min="12758" max="12758" width="9.5703125" style="1" customWidth="1"/>
    <col min="12759" max="12760" width="9.7109375" style="1" customWidth="1"/>
    <col min="12761" max="12761" width="10.7109375" style="1" customWidth="1"/>
    <col min="12762" max="12763" width="10" style="1" customWidth="1"/>
    <col min="12764" max="13012" width="9.140625" style="1"/>
    <col min="13013" max="13013" width="46.5703125" style="1" customWidth="1"/>
    <col min="13014" max="13014" width="9.5703125" style="1" customWidth="1"/>
    <col min="13015" max="13016" width="9.7109375" style="1" customWidth="1"/>
    <col min="13017" max="13017" width="10.7109375" style="1" customWidth="1"/>
    <col min="13018" max="13019" width="10" style="1" customWidth="1"/>
    <col min="13020" max="13268" width="9.140625" style="1"/>
    <col min="13269" max="13269" width="46.5703125" style="1" customWidth="1"/>
    <col min="13270" max="13270" width="9.5703125" style="1" customWidth="1"/>
    <col min="13271" max="13272" width="9.7109375" style="1" customWidth="1"/>
    <col min="13273" max="13273" width="10.7109375" style="1" customWidth="1"/>
    <col min="13274" max="13275" width="10" style="1" customWidth="1"/>
    <col min="13276" max="13524" width="9.140625" style="1"/>
    <col min="13525" max="13525" width="46.5703125" style="1" customWidth="1"/>
    <col min="13526" max="13526" width="9.5703125" style="1" customWidth="1"/>
    <col min="13527" max="13528" width="9.7109375" style="1" customWidth="1"/>
    <col min="13529" max="13529" width="10.7109375" style="1" customWidth="1"/>
    <col min="13530" max="13531" width="10" style="1" customWidth="1"/>
    <col min="13532" max="13780" width="9.140625" style="1"/>
    <col min="13781" max="13781" width="46.5703125" style="1" customWidth="1"/>
    <col min="13782" max="13782" width="9.5703125" style="1" customWidth="1"/>
    <col min="13783" max="13784" width="9.7109375" style="1" customWidth="1"/>
    <col min="13785" max="13785" width="10.7109375" style="1" customWidth="1"/>
    <col min="13786" max="13787" width="10" style="1" customWidth="1"/>
    <col min="13788" max="14036" width="9.140625" style="1"/>
    <col min="14037" max="14037" width="46.5703125" style="1" customWidth="1"/>
    <col min="14038" max="14038" width="9.5703125" style="1" customWidth="1"/>
    <col min="14039" max="14040" width="9.7109375" style="1" customWidth="1"/>
    <col min="14041" max="14041" width="10.7109375" style="1" customWidth="1"/>
    <col min="14042" max="14043" width="10" style="1" customWidth="1"/>
    <col min="14044" max="14292" width="9.140625" style="1"/>
    <col min="14293" max="14293" width="46.5703125" style="1" customWidth="1"/>
    <col min="14294" max="14294" width="9.5703125" style="1" customWidth="1"/>
    <col min="14295" max="14296" width="9.7109375" style="1" customWidth="1"/>
    <col min="14297" max="14297" width="10.7109375" style="1" customWidth="1"/>
    <col min="14298" max="14299" width="10" style="1" customWidth="1"/>
    <col min="14300" max="14548" width="9.140625" style="1"/>
    <col min="14549" max="14549" width="46.5703125" style="1" customWidth="1"/>
    <col min="14550" max="14550" width="9.5703125" style="1" customWidth="1"/>
    <col min="14551" max="14552" width="9.7109375" style="1" customWidth="1"/>
    <col min="14553" max="14553" width="10.7109375" style="1" customWidth="1"/>
    <col min="14554" max="14555" width="10" style="1" customWidth="1"/>
    <col min="14556" max="14804" width="9.140625" style="1"/>
    <col min="14805" max="14805" width="46.5703125" style="1" customWidth="1"/>
    <col min="14806" max="14806" width="9.5703125" style="1" customWidth="1"/>
    <col min="14807" max="14808" width="9.7109375" style="1" customWidth="1"/>
    <col min="14809" max="14809" width="10.7109375" style="1" customWidth="1"/>
    <col min="14810" max="14811" width="10" style="1" customWidth="1"/>
    <col min="14812" max="15060" width="9.140625" style="1"/>
    <col min="15061" max="15061" width="46.5703125" style="1" customWidth="1"/>
    <col min="15062" max="15062" width="9.5703125" style="1" customWidth="1"/>
    <col min="15063" max="15064" width="9.7109375" style="1" customWidth="1"/>
    <col min="15065" max="15065" width="10.7109375" style="1" customWidth="1"/>
    <col min="15066" max="15067" width="10" style="1" customWidth="1"/>
    <col min="15068" max="15316" width="9.140625" style="1"/>
    <col min="15317" max="15317" width="46.5703125" style="1" customWidth="1"/>
    <col min="15318" max="15318" width="9.5703125" style="1" customWidth="1"/>
    <col min="15319" max="15320" width="9.7109375" style="1" customWidth="1"/>
    <col min="15321" max="15321" width="10.7109375" style="1" customWidth="1"/>
    <col min="15322" max="15323" width="10" style="1" customWidth="1"/>
    <col min="15324" max="15572" width="9.140625" style="1"/>
    <col min="15573" max="15573" width="46.5703125" style="1" customWidth="1"/>
    <col min="15574" max="15574" width="9.5703125" style="1" customWidth="1"/>
    <col min="15575" max="15576" width="9.7109375" style="1" customWidth="1"/>
    <col min="15577" max="15577" width="10.7109375" style="1" customWidth="1"/>
    <col min="15578" max="15579" width="10" style="1" customWidth="1"/>
    <col min="15580" max="15828" width="9.140625" style="1"/>
    <col min="15829" max="15829" width="46.5703125" style="1" customWidth="1"/>
    <col min="15830" max="15830" width="9.5703125" style="1" customWidth="1"/>
    <col min="15831" max="15832" width="9.7109375" style="1" customWidth="1"/>
    <col min="15833" max="15833" width="10.7109375" style="1" customWidth="1"/>
    <col min="15834" max="15835" width="10" style="1" customWidth="1"/>
    <col min="15836" max="16084" width="9.140625" style="1"/>
    <col min="16085" max="16085" width="46.5703125" style="1" customWidth="1"/>
    <col min="16086" max="16086" width="9.5703125" style="1" customWidth="1"/>
    <col min="16087" max="16088" width="9.7109375" style="1" customWidth="1"/>
    <col min="16089" max="16089" width="10.7109375" style="1" customWidth="1"/>
    <col min="16090" max="16091" width="10" style="1" customWidth="1"/>
    <col min="16092" max="16384" width="9.140625" style="1"/>
  </cols>
  <sheetData>
    <row r="1" spans="1:10" ht="38.25" customHeight="1" x14ac:dyDescent="0.2">
      <c r="A1" s="39" t="s">
        <v>65</v>
      </c>
      <c r="B1" s="39"/>
      <c r="C1" s="39"/>
      <c r="D1" s="39"/>
      <c r="E1" s="39"/>
      <c r="F1" s="39"/>
      <c r="G1" s="39"/>
    </row>
    <row r="2" spans="1:10" ht="20.100000000000001" customHeight="1" x14ac:dyDescent="0.2">
      <c r="A2" s="2"/>
      <c r="B2" s="2"/>
      <c r="C2" s="3"/>
      <c r="D2" s="3"/>
      <c r="E2" s="2"/>
      <c r="F2" s="2"/>
      <c r="G2" s="2"/>
    </row>
    <row r="3" spans="1:10" s="9" customFormat="1" ht="20.100000000000001" customHeight="1" x14ac:dyDescent="0.2">
      <c r="A3" s="43"/>
      <c r="B3" s="40" t="s">
        <v>88</v>
      </c>
      <c r="C3" s="40" t="s">
        <v>89</v>
      </c>
      <c r="D3" s="40" t="s">
        <v>90</v>
      </c>
      <c r="E3" s="44" t="s">
        <v>91</v>
      </c>
      <c r="F3" s="40" t="s">
        <v>66</v>
      </c>
      <c r="G3" s="40" t="s">
        <v>67</v>
      </c>
      <c r="I3" s="36" t="s">
        <v>96</v>
      </c>
      <c r="J3" s="36" t="s">
        <v>97</v>
      </c>
    </row>
    <row r="4" spans="1:10" s="9" customFormat="1" ht="21" customHeight="1" x14ac:dyDescent="0.2">
      <c r="A4" s="37"/>
      <c r="B4" s="41"/>
      <c r="C4" s="41"/>
      <c r="D4" s="41"/>
      <c r="E4" s="45"/>
      <c r="F4" s="41"/>
      <c r="G4" s="41"/>
      <c r="I4" s="37"/>
      <c r="J4" s="37"/>
    </row>
    <row r="5" spans="1:10" s="9" customFormat="1" ht="56.25" customHeight="1" x14ac:dyDescent="0.2">
      <c r="A5" s="37"/>
      <c r="B5" s="42"/>
      <c r="C5" s="42"/>
      <c r="D5" s="42"/>
      <c r="E5" s="46"/>
      <c r="F5" s="42"/>
      <c r="G5" s="42"/>
      <c r="I5" s="38"/>
      <c r="J5" s="38"/>
    </row>
    <row r="6" spans="1:10" s="9" customFormat="1" ht="30" x14ac:dyDescent="0.2">
      <c r="A6" s="27" t="s">
        <v>54</v>
      </c>
      <c r="B6" s="28" t="s">
        <v>1</v>
      </c>
      <c r="C6" s="29">
        <v>279.74</v>
      </c>
      <c r="D6" s="29">
        <v>300</v>
      </c>
      <c r="E6" s="29">
        <v>300</v>
      </c>
      <c r="F6" s="47">
        <f>D6/C6*100</f>
        <v>107.24243940802174</v>
      </c>
      <c r="G6" s="29">
        <v>178.70971585155181</v>
      </c>
      <c r="I6" s="32">
        <v>167.87</v>
      </c>
      <c r="J6" s="32">
        <v>167.87</v>
      </c>
    </row>
    <row r="7" spans="1:10" s="9" customFormat="1" ht="30" x14ac:dyDescent="0.2">
      <c r="A7" s="30" t="s">
        <v>50</v>
      </c>
      <c r="B7" s="28" t="s">
        <v>1</v>
      </c>
      <c r="C7" s="29">
        <v>58331.297709923703</v>
      </c>
      <c r="D7" s="29">
        <v>52290.0763358779</v>
      </c>
      <c r="E7" s="29">
        <v>52290.0763358779</v>
      </c>
      <c r="F7" s="47">
        <f t="shared" ref="F7:F45" si="0">D7/C7*100</f>
        <v>89.643259088648691</v>
      </c>
      <c r="G7" s="29">
        <v>102.55267839150697</v>
      </c>
      <c r="I7" s="32">
        <v>50988.503816793898</v>
      </c>
      <c r="J7" s="32">
        <v>50988.503816793898</v>
      </c>
    </row>
    <row r="8" spans="1:10" s="9" customFormat="1" ht="24" customHeight="1" x14ac:dyDescent="0.2">
      <c r="A8" s="30" t="s">
        <v>68</v>
      </c>
      <c r="B8" s="28" t="s">
        <v>1</v>
      </c>
      <c r="C8" s="29">
        <v>164670.77384700699</v>
      </c>
      <c r="D8" s="29">
        <v>159120.62863687999</v>
      </c>
      <c r="E8" s="29">
        <v>159120.62863687999</v>
      </c>
      <c r="F8" s="47">
        <f t="shared" si="0"/>
        <v>96.629550538650193</v>
      </c>
      <c r="G8" s="29">
        <v>127.97013489151298</v>
      </c>
      <c r="I8" s="32">
        <v>124342.002742886</v>
      </c>
      <c r="J8" s="32">
        <v>124342.002742886</v>
      </c>
    </row>
    <row r="9" spans="1:10" s="9" customFormat="1" ht="24" customHeight="1" x14ac:dyDescent="0.2">
      <c r="A9" s="30" t="s">
        <v>69</v>
      </c>
      <c r="B9" s="28" t="s">
        <v>1</v>
      </c>
      <c r="C9" s="29">
        <v>32012.799999999999</v>
      </c>
      <c r="D9" s="29">
        <v>29858</v>
      </c>
      <c r="E9" s="29">
        <v>29858</v>
      </c>
      <c r="F9" s="47">
        <f t="shared" si="0"/>
        <v>93.268942423030794</v>
      </c>
      <c r="G9" s="29">
        <v>118.43383959985243</v>
      </c>
      <c r="I9" s="32">
        <v>25210.7</v>
      </c>
      <c r="J9" s="32">
        <v>25210.7</v>
      </c>
    </row>
    <row r="10" spans="1:10" s="9" customFormat="1" ht="24" customHeight="1" x14ac:dyDescent="0.2">
      <c r="A10" s="30" t="s">
        <v>70</v>
      </c>
      <c r="B10" s="28" t="s">
        <v>1</v>
      </c>
      <c r="C10" s="29">
        <v>15425.65</v>
      </c>
      <c r="D10" s="29">
        <v>15000</v>
      </c>
      <c r="E10" s="29">
        <v>15000</v>
      </c>
      <c r="F10" s="47">
        <f t="shared" si="0"/>
        <v>97.240634916518914</v>
      </c>
      <c r="G10" s="29">
        <v>1164.1443538998835</v>
      </c>
      <c r="I10" s="32">
        <v>1288.5</v>
      </c>
      <c r="J10" s="32">
        <v>1288.5</v>
      </c>
    </row>
    <row r="11" spans="1:10" s="9" customFormat="1" ht="24" customHeight="1" x14ac:dyDescent="0.2">
      <c r="A11" s="30" t="s">
        <v>2</v>
      </c>
      <c r="B11" s="28" t="s">
        <v>1</v>
      </c>
      <c r="C11" s="29">
        <v>85424.552132701399</v>
      </c>
      <c r="D11" s="29">
        <v>82810.9620853081</v>
      </c>
      <c r="E11" s="29">
        <v>82810.9620853081</v>
      </c>
      <c r="F11" s="47">
        <f t="shared" si="0"/>
        <v>96.940469710238261</v>
      </c>
      <c r="G11" s="29">
        <v>116.7494641723349</v>
      </c>
      <c r="I11" s="32">
        <v>70930.485781990501</v>
      </c>
      <c r="J11" s="32">
        <v>70930.485781990501</v>
      </c>
    </row>
    <row r="12" spans="1:10" s="9" customFormat="1" ht="24" customHeight="1" x14ac:dyDescent="0.2">
      <c r="A12" s="30" t="s">
        <v>51</v>
      </c>
      <c r="B12" s="28" t="s">
        <v>1</v>
      </c>
      <c r="C12" s="29">
        <v>78697.359735973601</v>
      </c>
      <c r="D12" s="29">
        <v>76441.694169416907</v>
      </c>
      <c r="E12" s="29">
        <v>76441.694169416907</v>
      </c>
      <c r="F12" s="47">
        <f t="shared" si="0"/>
        <v>97.133746832010175</v>
      </c>
      <c r="G12" s="29">
        <v>133.65261495417451</v>
      </c>
      <c r="I12" s="32">
        <v>57194.312431243103</v>
      </c>
      <c r="J12" s="32">
        <v>57194.312431243103</v>
      </c>
    </row>
    <row r="13" spans="1:10" s="9" customFormat="1" ht="24" customHeight="1" x14ac:dyDescent="0.2">
      <c r="A13" s="30" t="s">
        <v>71</v>
      </c>
      <c r="B13" s="28" t="s">
        <v>1</v>
      </c>
      <c r="C13" s="29">
        <v>4304.25</v>
      </c>
      <c r="D13" s="29">
        <v>4519</v>
      </c>
      <c r="E13" s="29">
        <v>4519</v>
      </c>
      <c r="F13" s="47">
        <f t="shared" si="0"/>
        <v>104.9892548062961</v>
      </c>
      <c r="G13" s="29">
        <v>139.66411383289756</v>
      </c>
      <c r="I13" s="32">
        <v>3235.62</v>
      </c>
      <c r="J13" s="32">
        <v>3235.62</v>
      </c>
    </row>
    <row r="14" spans="1:10" s="9" customFormat="1" ht="24" customHeight="1" x14ac:dyDescent="0.2">
      <c r="A14" s="30" t="s">
        <v>6</v>
      </c>
      <c r="B14" s="28" t="s">
        <v>35</v>
      </c>
      <c r="C14" s="29">
        <v>141.84</v>
      </c>
      <c r="D14" s="29">
        <v>148.93</v>
      </c>
      <c r="E14" s="29">
        <v>148.93</v>
      </c>
      <c r="F14" s="47">
        <f t="shared" si="0"/>
        <v>104.9985899605189</v>
      </c>
      <c r="G14" s="29">
        <v>237.71747805267358</v>
      </c>
      <c r="I14" s="32">
        <v>62.65</v>
      </c>
      <c r="J14" s="32">
        <v>62.65</v>
      </c>
    </row>
    <row r="15" spans="1:10" s="9" customFormat="1" ht="24" customHeight="1" x14ac:dyDescent="0.2">
      <c r="A15" s="30" t="s">
        <v>7</v>
      </c>
      <c r="B15" s="28" t="s">
        <v>35</v>
      </c>
      <c r="C15" s="29">
        <v>1070.96</v>
      </c>
      <c r="D15" s="29">
        <v>1124.51</v>
      </c>
      <c r="E15" s="29">
        <v>1124.51</v>
      </c>
      <c r="F15" s="47">
        <f t="shared" si="0"/>
        <v>105.00018674833794</v>
      </c>
      <c r="G15" s="29">
        <v>147.93264487272248</v>
      </c>
      <c r="I15" s="32">
        <v>760.15</v>
      </c>
      <c r="J15" s="32">
        <v>760.15</v>
      </c>
    </row>
    <row r="16" spans="1:10" s="9" customFormat="1" ht="24" customHeight="1" x14ac:dyDescent="0.2">
      <c r="A16" s="30" t="s">
        <v>4</v>
      </c>
      <c r="B16" s="28" t="s">
        <v>35</v>
      </c>
      <c r="C16" s="29">
        <v>37956.57</v>
      </c>
      <c r="D16" s="29">
        <v>36402.5</v>
      </c>
      <c r="E16" s="29">
        <v>36402.5</v>
      </c>
      <c r="F16" s="47">
        <f t="shared" si="0"/>
        <v>95.905662708722105</v>
      </c>
      <c r="G16" s="29">
        <v>128.35281059246975</v>
      </c>
      <c r="I16" s="32">
        <v>28361.279999999999</v>
      </c>
      <c r="J16" s="32">
        <v>28361.279999999999</v>
      </c>
    </row>
    <row r="17" spans="1:10" s="9" customFormat="1" ht="24" customHeight="1" x14ac:dyDescent="0.2">
      <c r="A17" s="30" t="s">
        <v>72</v>
      </c>
      <c r="B17" s="28" t="s">
        <v>35</v>
      </c>
      <c r="C17" s="29">
        <v>5608</v>
      </c>
      <c r="D17" s="29">
        <v>5780</v>
      </c>
      <c r="E17" s="29">
        <v>5780</v>
      </c>
      <c r="F17" s="47">
        <f t="shared" si="0"/>
        <v>103.06704707560628</v>
      </c>
      <c r="G17" s="31" t="s">
        <v>92</v>
      </c>
      <c r="I17" s="33">
        <v>0</v>
      </c>
      <c r="J17" s="33">
        <v>0</v>
      </c>
    </row>
    <row r="18" spans="1:10" s="9" customFormat="1" ht="24" customHeight="1" x14ac:dyDescent="0.2">
      <c r="A18" s="30" t="s">
        <v>73</v>
      </c>
      <c r="B18" s="28" t="s">
        <v>35</v>
      </c>
      <c r="C18" s="29">
        <v>19910</v>
      </c>
      <c r="D18" s="29">
        <v>21001</v>
      </c>
      <c r="E18" s="29">
        <v>21001</v>
      </c>
      <c r="F18" s="47">
        <f t="shared" si="0"/>
        <v>105.47965846308387</v>
      </c>
      <c r="G18" s="31" t="s">
        <v>92</v>
      </c>
      <c r="I18" s="33">
        <v>0</v>
      </c>
      <c r="J18" s="33">
        <v>0</v>
      </c>
    </row>
    <row r="19" spans="1:10" s="9" customFormat="1" ht="24" customHeight="1" x14ac:dyDescent="0.2">
      <c r="A19" s="30" t="s">
        <v>53</v>
      </c>
      <c r="B19" s="28" t="s">
        <v>36</v>
      </c>
      <c r="C19" s="29">
        <v>11769</v>
      </c>
      <c r="D19" s="29">
        <v>9880</v>
      </c>
      <c r="E19" s="29">
        <v>9880</v>
      </c>
      <c r="F19" s="47">
        <f t="shared" si="0"/>
        <v>83.949358484153279</v>
      </c>
      <c r="G19" s="29">
        <v>99.456412321320727</v>
      </c>
      <c r="I19" s="32">
        <v>9934</v>
      </c>
      <c r="J19" s="32">
        <v>9934</v>
      </c>
    </row>
    <row r="20" spans="1:10" s="9" customFormat="1" ht="33" customHeight="1" x14ac:dyDescent="0.2">
      <c r="A20" s="30" t="s">
        <v>37</v>
      </c>
      <c r="B20" s="28" t="s">
        <v>1</v>
      </c>
      <c r="C20" s="29">
        <v>45545.080211624198</v>
      </c>
      <c r="D20" s="29">
        <v>45589.349665390298</v>
      </c>
      <c r="E20" s="29">
        <v>45589.349665390298</v>
      </c>
      <c r="F20" s="47">
        <f t="shared" si="0"/>
        <v>100.09719920035359</v>
      </c>
      <c r="G20" s="29">
        <v>123.93254399116617</v>
      </c>
      <c r="I20" s="32">
        <v>36785.615946558697</v>
      </c>
      <c r="J20" s="32">
        <v>36785.615946558697</v>
      </c>
    </row>
    <row r="21" spans="1:10" s="9" customFormat="1" ht="15" x14ac:dyDescent="0.2">
      <c r="A21" s="30" t="s">
        <v>74</v>
      </c>
      <c r="B21" s="28" t="s">
        <v>1</v>
      </c>
      <c r="C21" s="29">
        <v>25214.05</v>
      </c>
      <c r="D21" s="29">
        <v>26080</v>
      </c>
      <c r="E21" s="29">
        <v>26080</v>
      </c>
      <c r="F21" s="47">
        <f t="shared" si="0"/>
        <v>103.43439471247183</v>
      </c>
      <c r="G21" s="29">
        <v>114.49644393713231</v>
      </c>
      <c r="I21" s="32">
        <v>22778</v>
      </c>
      <c r="J21" s="32">
        <v>22778</v>
      </c>
    </row>
    <row r="22" spans="1:10" s="9" customFormat="1" ht="30" x14ac:dyDescent="0.2">
      <c r="A22" s="30" t="s">
        <v>8</v>
      </c>
      <c r="B22" s="28" t="s">
        <v>1</v>
      </c>
      <c r="C22" s="29">
        <v>709.91432068543497</v>
      </c>
      <c r="D22" s="29">
        <v>734.39412484700097</v>
      </c>
      <c r="E22" s="29">
        <v>734.39412484700097</v>
      </c>
      <c r="F22" s="47">
        <f t="shared" si="0"/>
        <v>103.44827586206887</v>
      </c>
      <c r="G22" s="29">
        <v>100</v>
      </c>
      <c r="I22" s="32">
        <v>734.39412484700097</v>
      </c>
      <c r="J22" s="32">
        <v>734.39412484700097</v>
      </c>
    </row>
    <row r="23" spans="1:10" s="9" customFormat="1" ht="24" customHeight="1" x14ac:dyDescent="0.2">
      <c r="A23" s="30" t="s">
        <v>5</v>
      </c>
      <c r="B23" s="28" t="s">
        <v>93</v>
      </c>
      <c r="C23" s="29">
        <v>11256.5789473684</v>
      </c>
      <c r="D23" s="29">
        <v>11869.7368421053</v>
      </c>
      <c r="E23" s="29">
        <v>11869.7368421053</v>
      </c>
      <c r="F23" s="47">
        <f t="shared" si="0"/>
        <v>105.44710695499759</v>
      </c>
      <c r="G23" s="29">
        <v>112.38320667746346</v>
      </c>
      <c r="I23" s="32">
        <v>10561.8421052632</v>
      </c>
      <c r="J23" s="32">
        <v>10561.8421052632</v>
      </c>
    </row>
    <row r="24" spans="1:10" s="9" customFormat="1" ht="24" customHeight="1" x14ac:dyDescent="0.2">
      <c r="A24" s="30" t="s">
        <v>38</v>
      </c>
      <c r="B24" s="28" t="s">
        <v>93</v>
      </c>
      <c r="C24" s="29">
        <v>17796.4965986395</v>
      </c>
      <c r="D24" s="29">
        <v>17868.480725623602</v>
      </c>
      <c r="E24" s="29">
        <v>17868.480725623602</v>
      </c>
      <c r="F24" s="47">
        <f t="shared" si="0"/>
        <v>100.40448481859967</v>
      </c>
      <c r="G24" s="29">
        <v>141.3782586073882</v>
      </c>
      <c r="I24" s="32">
        <v>12638.775510204099</v>
      </c>
      <c r="J24" s="32">
        <v>12638.775510204099</v>
      </c>
    </row>
    <row r="25" spans="1:10" s="9" customFormat="1" ht="24" customHeight="1" x14ac:dyDescent="0.2">
      <c r="A25" s="30" t="s">
        <v>75</v>
      </c>
      <c r="B25" s="28" t="s">
        <v>93</v>
      </c>
      <c r="C25" s="29">
        <v>51334.448589496104</v>
      </c>
      <c r="D25" s="29">
        <v>51378.651911468798</v>
      </c>
      <c r="E25" s="29">
        <v>51378.651911468798</v>
      </c>
      <c r="F25" s="47">
        <f t="shared" si="0"/>
        <v>100.08610849670593</v>
      </c>
      <c r="G25" s="29">
        <v>128.20973244747699</v>
      </c>
      <c r="I25" s="32">
        <v>40073.909313021002</v>
      </c>
      <c r="J25" s="32">
        <v>40073.909313021002</v>
      </c>
    </row>
    <row r="26" spans="1:10" s="9" customFormat="1" ht="24" customHeight="1" x14ac:dyDescent="0.2">
      <c r="A26" s="30" t="s">
        <v>76</v>
      </c>
      <c r="B26" s="28" t="s">
        <v>39</v>
      </c>
      <c r="C26" s="29">
        <v>1028.0899999999999</v>
      </c>
      <c r="D26" s="29">
        <v>950</v>
      </c>
      <c r="E26" s="29">
        <v>950</v>
      </c>
      <c r="F26" s="47">
        <f t="shared" si="0"/>
        <v>92.40436148586214</v>
      </c>
      <c r="G26" s="29">
        <v>144.86123818237269</v>
      </c>
      <c r="I26" s="32">
        <v>655.8</v>
      </c>
      <c r="J26" s="32">
        <v>655.8</v>
      </c>
    </row>
    <row r="27" spans="1:10" s="9" customFormat="1" ht="45" x14ac:dyDescent="0.2">
      <c r="A27" s="30" t="s">
        <v>77</v>
      </c>
      <c r="B27" s="28" t="s">
        <v>39</v>
      </c>
      <c r="C27" s="29">
        <v>160.11000000000001</v>
      </c>
      <c r="D27" s="29">
        <v>150</v>
      </c>
      <c r="E27" s="29">
        <v>150</v>
      </c>
      <c r="F27" s="47">
        <f t="shared" si="0"/>
        <v>93.685591156080179</v>
      </c>
      <c r="G27" s="29">
        <v>200</v>
      </c>
      <c r="I27" s="32">
        <v>75</v>
      </c>
      <c r="J27" s="32">
        <v>75</v>
      </c>
    </row>
    <row r="28" spans="1:10" s="9" customFormat="1" ht="30" x14ac:dyDescent="0.2">
      <c r="A28" s="30" t="s">
        <v>9</v>
      </c>
      <c r="B28" s="28" t="s">
        <v>39</v>
      </c>
      <c r="C28" s="29">
        <v>1436.85419058553</v>
      </c>
      <c r="D28" s="29">
        <v>1895.2927669345599</v>
      </c>
      <c r="E28" s="29">
        <v>1895.2927669345599</v>
      </c>
      <c r="F28" s="47">
        <f t="shared" si="0"/>
        <v>131.90571314422743</v>
      </c>
      <c r="G28" s="29">
        <v>109.10773298083274</v>
      </c>
      <c r="I28" s="32">
        <v>1737.08381171068</v>
      </c>
      <c r="J28" s="32">
        <v>1737.08381171068</v>
      </c>
    </row>
    <row r="29" spans="1:10" s="9" customFormat="1" ht="24.75" customHeight="1" x14ac:dyDescent="0.2">
      <c r="A29" s="30" t="s">
        <v>40</v>
      </c>
      <c r="B29" s="28" t="s">
        <v>39</v>
      </c>
      <c r="C29" s="29">
        <v>66449.874555815404</v>
      </c>
      <c r="D29" s="29">
        <v>61042.369224295697</v>
      </c>
      <c r="E29" s="29">
        <v>61042.369224295697</v>
      </c>
      <c r="F29" s="47">
        <f t="shared" si="0"/>
        <v>91.862279097340348</v>
      </c>
      <c r="G29" s="29">
        <v>148.93253343539504</v>
      </c>
      <c r="I29" s="32">
        <v>40986.591590329102</v>
      </c>
      <c r="J29" s="32">
        <v>40986.591590329102</v>
      </c>
    </row>
    <row r="30" spans="1:10" s="9" customFormat="1" ht="30" x14ac:dyDescent="0.2">
      <c r="A30" s="30" t="s">
        <v>10</v>
      </c>
      <c r="B30" s="28" t="s">
        <v>39</v>
      </c>
      <c r="C30" s="29">
        <v>79.260237780713297</v>
      </c>
      <c r="D30" s="29">
        <v>56.803170409511203</v>
      </c>
      <c r="E30" s="29">
        <v>56.803170409511203</v>
      </c>
      <c r="F30" s="47">
        <f t="shared" si="0"/>
        <v>71.666666666666686</v>
      </c>
      <c r="G30" s="29">
        <v>113.15789473684201</v>
      </c>
      <c r="I30" s="32">
        <v>50.198150594451803</v>
      </c>
      <c r="J30" s="32">
        <v>50.198150594451803</v>
      </c>
    </row>
    <row r="31" spans="1:10" s="9" customFormat="1" ht="30" x14ac:dyDescent="0.2">
      <c r="A31" s="30" t="s">
        <v>78</v>
      </c>
      <c r="B31" s="28" t="s">
        <v>41</v>
      </c>
      <c r="C31" s="29">
        <v>638</v>
      </c>
      <c r="D31" s="29">
        <v>650</v>
      </c>
      <c r="E31" s="29">
        <v>650</v>
      </c>
      <c r="F31" s="47">
        <f t="shared" si="0"/>
        <v>101.88087774294672</v>
      </c>
      <c r="G31" s="29">
        <v>107.7943615257048</v>
      </c>
      <c r="I31" s="32">
        <v>603</v>
      </c>
      <c r="J31" s="32">
        <v>603</v>
      </c>
    </row>
    <row r="32" spans="1:10" s="9" customFormat="1" ht="15" x14ac:dyDescent="0.2">
      <c r="A32" s="30" t="s">
        <v>56</v>
      </c>
      <c r="B32" s="28" t="s">
        <v>41</v>
      </c>
      <c r="C32" s="29">
        <v>442.8</v>
      </c>
      <c r="D32" s="29">
        <v>450</v>
      </c>
      <c r="E32" s="29">
        <v>450</v>
      </c>
      <c r="F32" s="47">
        <f t="shared" si="0"/>
        <v>101.62601626016259</v>
      </c>
      <c r="G32" s="29">
        <v>136.36363636363635</v>
      </c>
      <c r="I32" s="32">
        <v>330</v>
      </c>
      <c r="J32" s="32">
        <v>330</v>
      </c>
    </row>
    <row r="33" spans="1:10" s="9" customFormat="1" ht="30" x14ac:dyDescent="0.2">
      <c r="A33" s="30" t="s">
        <v>3</v>
      </c>
      <c r="B33" s="28" t="s">
        <v>41</v>
      </c>
      <c r="C33" s="29">
        <v>3095.93359114549</v>
      </c>
      <c r="D33" s="29">
        <v>3005.7607681024101</v>
      </c>
      <c r="E33" s="29">
        <v>3005.7607681024101</v>
      </c>
      <c r="F33" s="47">
        <f t="shared" si="0"/>
        <v>97.08737864077645</v>
      </c>
      <c r="G33" s="29">
        <v>80.797199030433603</v>
      </c>
      <c r="I33" s="32">
        <v>3720.1299106547499</v>
      </c>
      <c r="J33" s="32">
        <v>3720.1299106547499</v>
      </c>
    </row>
    <row r="34" spans="1:10" s="9" customFormat="1" ht="30" x14ac:dyDescent="0.2">
      <c r="A34" s="30" t="s">
        <v>79</v>
      </c>
      <c r="B34" s="28" t="s">
        <v>41</v>
      </c>
      <c r="C34" s="29">
        <v>7306.7343557669901</v>
      </c>
      <c r="D34" s="29">
        <v>6994.6189161315997</v>
      </c>
      <c r="E34" s="29">
        <v>6994.6189161315997</v>
      </c>
      <c r="F34" s="47">
        <f t="shared" si="0"/>
        <v>95.728386657590107</v>
      </c>
      <c r="G34" s="29">
        <v>111.58500297560001</v>
      </c>
      <c r="I34" s="32">
        <v>6268.4220366612299</v>
      </c>
      <c r="J34" s="32">
        <v>6268.4220366612299</v>
      </c>
    </row>
    <row r="35" spans="1:10" s="9" customFormat="1" ht="33" customHeight="1" x14ac:dyDescent="0.2">
      <c r="A35" s="30" t="s">
        <v>80</v>
      </c>
      <c r="B35" s="28" t="s">
        <v>39</v>
      </c>
      <c r="C35" s="29">
        <v>2814.72</v>
      </c>
      <c r="D35" s="29">
        <v>2832</v>
      </c>
      <c r="E35" s="29">
        <v>2832</v>
      </c>
      <c r="F35" s="47">
        <f t="shared" si="0"/>
        <v>100.61391541609824</v>
      </c>
      <c r="G35" s="29">
        <v>153.66500811190633</v>
      </c>
      <c r="I35" s="32">
        <v>1842.97</v>
      </c>
      <c r="J35" s="32">
        <v>1842.97</v>
      </c>
    </row>
    <row r="36" spans="1:10" s="9" customFormat="1" ht="33" customHeight="1" x14ac:dyDescent="0.2">
      <c r="A36" s="30" t="s">
        <v>81</v>
      </c>
      <c r="B36" s="28" t="s">
        <v>39</v>
      </c>
      <c r="C36" s="29">
        <v>225.16</v>
      </c>
      <c r="D36" s="29">
        <v>232.2</v>
      </c>
      <c r="E36" s="29">
        <v>232.2</v>
      </c>
      <c r="F36" s="47">
        <f t="shared" si="0"/>
        <v>103.12666548232367</v>
      </c>
      <c r="G36" s="29">
        <v>109.70942593905031</v>
      </c>
      <c r="I36" s="32">
        <v>211.65</v>
      </c>
      <c r="J36" s="32">
        <v>211.65</v>
      </c>
    </row>
    <row r="37" spans="1:10" s="9" customFormat="1" ht="33" customHeight="1" x14ac:dyDescent="0.2">
      <c r="A37" s="30" t="s">
        <v>82</v>
      </c>
      <c r="B37" s="28" t="s">
        <v>39</v>
      </c>
      <c r="C37" s="29">
        <v>3279.97532619605</v>
      </c>
      <c r="D37" s="29">
        <v>3326.2145199063202</v>
      </c>
      <c r="E37" s="29">
        <v>3326.2145199063202</v>
      </c>
      <c r="F37" s="47">
        <f t="shared" si="0"/>
        <v>101.40974212034382</v>
      </c>
      <c r="G37" s="29">
        <v>153.51693984014437</v>
      </c>
      <c r="I37" s="32">
        <v>2166.6758882569402</v>
      </c>
      <c r="J37" s="32">
        <v>2166.6758882569402</v>
      </c>
    </row>
    <row r="38" spans="1:10" s="9" customFormat="1" ht="24" customHeight="1" x14ac:dyDescent="0.2">
      <c r="A38" s="30" t="s">
        <v>83</v>
      </c>
      <c r="B38" s="28" t="s">
        <v>1</v>
      </c>
      <c r="C38" s="29">
        <v>96605</v>
      </c>
      <c r="D38" s="29">
        <v>95780</v>
      </c>
      <c r="E38" s="29">
        <v>95780</v>
      </c>
      <c r="F38" s="47">
        <f t="shared" si="0"/>
        <v>99.146006935458828</v>
      </c>
      <c r="G38" s="29">
        <v>112.37563356485826</v>
      </c>
      <c r="I38" s="32">
        <v>85232</v>
      </c>
      <c r="J38" s="32">
        <v>85232</v>
      </c>
    </row>
    <row r="39" spans="1:10" s="9" customFormat="1" ht="24" customHeight="1" x14ac:dyDescent="0.2">
      <c r="A39" s="30" t="s">
        <v>84</v>
      </c>
      <c r="B39" s="28" t="s">
        <v>1</v>
      </c>
      <c r="C39" s="29">
        <v>157563</v>
      </c>
      <c r="D39" s="29">
        <v>149450</v>
      </c>
      <c r="E39" s="29">
        <v>149450</v>
      </c>
      <c r="F39" s="47">
        <f t="shared" si="0"/>
        <v>94.850948509485107</v>
      </c>
      <c r="G39" s="29">
        <v>123.49249501113458</v>
      </c>
      <c r="I39" s="32">
        <v>121019.5</v>
      </c>
      <c r="J39" s="32">
        <v>121019.5</v>
      </c>
    </row>
    <row r="40" spans="1:10" s="9" customFormat="1" ht="30" x14ac:dyDescent="0.2">
      <c r="A40" s="30" t="s">
        <v>42</v>
      </c>
      <c r="B40" s="28" t="s">
        <v>1</v>
      </c>
      <c r="C40" s="29">
        <v>76319.4600674916</v>
      </c>
      <c r="D40" s="29">
        <v>76490.438695163102</v>
      </c>
      <c r="E40" s="29">
        <v>76490.438695163102</v>
      </c>
      <c r="F40" s="47">
        <f t="shared" si="0"/>
        <v>100.22403018511963</v>
      </c>
      <c r="G40" s="29">
        <v>202.09825541653018</v>
      </c>
      <c r="I40" s="32">
        <v>37848.143982002301</v>
      </c>
      <c r="J40" s="32">
        <v>37848.143982002301</v>
      </c>
    </row>
    <row r="41" spans="1:10" s="9" customFormat="1" ht="24" customHeight="1" x14ac:dyDescent="0.2">
      <c r="A41" s="30" t="s">
        <v>85</v>
      </c>
      <c r="B41" s="28" t="s">
        <v>43</v>
      </c>
      <c r="C41" s="29">
        <v>20.983793103448299</v>
      </c>
      <c r="D41" s="29">
        <v>20.609655172413799</v>
      </c>
      <c r="E41" s="29">
        <v>20.609655172413799</v>
      </c>
      <c r="F41" s="47">
        <f t="shared" si="0"/>
        <v>98.217014773306076</v>
      </c>
      <c r="G41" s="29">
        <v>172.29669347631869</v>
      </c>
      <c r="I41" s="32">
        <v>11.961724137931</v>
      </c>
      <c r="J41" s="32">
        <v>11.961724137931</v>
      </c>
    </row>
    <row r="42" spans="1:10" s="9" customFormat="1" ht="24" customHeight="1" x14ac:dyDescent="0.2">
      <c r="A42" s="30" t="s">
        <v>44</v>
      </c>
      <c r="B42" s="28" t="s">
        <v>43</v>
      </c>
      <c r="C42" s="29">
        <v>256.82738089999998</v>
      </c>
      <c r="D42" s="29">
        <v>259.74</v>
      </c>
      <c r="E42" s="29">
        <v>259.74</v>
      </c>
      <c r="F42" s="47">
        <f t="shared" si="0"/>
        <v>101.13407654970172</v>
      </c>
      <c r="G42" s="29">
        <v>98.085816446429178</v>
      </c>
      <c r="I42" s="32">
        <v>264.808928966667</v>
      </c>
      <c r="J42" s="32">
        <v>264.808928966667</v>
      </c>
    </row>
    <row r="43" spans="1:10" s="9" customFormat="1" ht="24" customHeight="1" x14ac:dyDescent="0.2">
      <c r="A43" s="30" t="s">
        <v>0</v>
      </c>
      <c r="B43" s="28" t="s">
        <v>43</v>
      </c>
      <c r="C43" s="29">
        <v>1378.51</v>
      </c>
      <c r="D43" s="29">
        <v>1355</v>
      </c>
      <c r="E43" s="29">
        <v>1355</v>
      </c>
      <c r="F43" s="47">
        <f t="shared" si="0"/>
        <v>98.294535404168272</v>
      </c>
      <c r="G43" s="29">
        <v>125.83230407770958</v>
      </c>
      <c r="I43" s="32">
        <v>1076.83</v>
      </c>
      <c r="J43" s="32">
        <v>1076.83</v>
      </c>
    </row>
    <row r="44" spans="1:10" s="9" customFormat="1" ht="24" customHeight="1" x14ac:dyDescent="0.2">
      <c r="A44" s="30" t="s">
        <v>86</v>
      </c>
      <c r="B44" s="28" t="s">
        <v>94</v>
      </c>
      <c r="C44" s="29">
        <v>12554.343474781699</v>
      </c>
      <c r="D44" s="29">
        <v>11722.9185332297</v>
      </c>
      <c r="E44" s="29">
        <v>11722.9185332297</v>
      </c>
      <c r="F44" s="47">
        <f t="shared" si="0"/>
        <v>93.3773921095746</v>
      </c>
      <c r="G44" s="29">
        <v>113.99495438699428</v>
      </c>
      <c r="I44" s="32">
        <v>10283.7170261346</v>
      </c>
      <c r="J44" s="32">
        <v>10283.7170261346</v>
      </c>
    </row>
    <row r="45" spans="1:10" s="9" customFormat="1" ht="30" x14ac:dyDescent="0.2">
      <c r="A45" s="30" t="s">
        <v>87</v>
      </c>
      <c r="B45" s="28" t="s">
        <v>95</v>
      </c>
      <c r="C45" s="29">
        <v>25929.857521088299</v>
      </c>
      <c r="D45" s="29">
        <v>26479.2324965915</v>
      </c>
      <c r="E45" s="29">
        <v>26479.2324965915</v>
      </c>
      <c r="F45" s="47">
        <f t="shared" si="0"/>
        <v>102.11869646817921</v>
      </c>
      <c r="G45" s="29">
        <v>107.30495579531869</v>
      </c>
      <c r="I45" s="32">
        <v>24676.616564755801</v>
      </c>
      <c r="J45" s="32">
        <v>24676.616564755801</v>
      </c>
    </row>
    <row r="46" spans="1:10" s="8" customFormat="1" ht="5.25" customHeight="1" x14ac:dyDescent="0.2">
      <c r="A46" s="24"/>
      <c r="B46" s="24"/>
      <c r="C46" s="24"/>
      <c r="D46" s="24"/>
      <c r="E46" s="24"/>
      <c r="F46" s="24"/>
      <c r="G46" s="24"/>
    </row>
  </sheetData>
  <mergeCells count="10">
    <mergeCell ref="I3:I5"/>
    <mergeCell ref="J3:J5"/>
    <mergeCell ref="A1:G1"/>
    <mergeCell ref="G3:G5"/>
    <mergeCell ref="A3:A5"/>
    <mergeCell ref="B3:B5"/>
    <mergeCell ref="C3:C5"/>
    <mergeCell ref="D3:D5"/>
    <mergeCell ref="E3:E5"/>
    <mergeCell ref="F3:F5"/>
  </mergeCells>
  <phoneticPr fontId="2" type="noConversion"/>
  <printOptions horizontalCentered="1"/>
  <pageMargins left="0.59055118110236204" right="0.39370078740157499" top="0.643700787" bottom="0.39370078740157499" header="0.118110236220472" footer="0.118110236220472"/>
  <pageSetup paperSize="9" scale="95" firstPageNumber="17" orientation="portrait" useFirstPageNumber="1" r:id="rId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IIP</vt:lpstr>
      <vt:lpstr>SPCN</vt:lpstr>
      <vt:lpstr>IIP!Print_Area</vt:lpstr>
      <vt:lpstr>IIP!Print_Titles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DELL</cp:lastModifiedBy>
  <cp:lastPrinted>2026-01-12T08:04:06Z</cp:lastPrinted>
  <dcterms:created xsi:type="dcterms:W3CDTF">2012-04-04T08:13:05Z</dcterms:created>
  <dcterms:modified xsi:type="dcterms:W3CDTF">2026-01-26T03:28:10Z</dcterms:modified>
</cp:coreProperties>
</file>