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8.2.2 Năm 2026\2. Sở Công Thương\2. Báo cáo Tháng của ngành\Năm 2026\Báo cáo tháng - quý\Tháng 6\Tháng 6 SCT\Các phòng gửi\"/>
    </mc:Choice>
  </mc:AlternateContent>
  <xr:revisionPtr revIDLastSave="0" documentId="13_ncr:1_{1E9010F0-8477-4F0C-A5B6-C3BE81ADC013}" xr6:coauthVersionLast="47" xr6:coauthVersionMax="47" xr10:uidLastSave="{00000000-0000-0000-0000-000000000000}"/>
  <bookViews>
    <workbookView xWindow="0" yWindow="0" windowWidth="9600" windowHeight="10200" tabRatio="862" xr2:uid="{00000000-000D-0000-FFFF-FFFF00000000}"/>
  </bookViews>
  <sheets>
    <sheet name="TM T" sheetId="75" r:id="rId1"/>
    <sheet name="BL T" sheetId="68" r:id="rId2"/>
  </sheets>
  <definedNames>
    <definedName name="_____________________h1" hidden="1">{"'TDTGT (theo Dphuong)'!$A$4:$F$75"}</definedName>
    <definedName name="____________________h1" hidden="1">{"'TDTGT (theo Dphuong)'!$A$4:$F$75"}</definedName>
    <definedName name="_xlnm.Print_Area" localSheetId="1">'BL T'!$A$1:$F$19</definedName>
    <definedName name="_xlnm.Print_Area" localSheetId="0">'TM T'!$A$1:$F$12</definedName>
    <definedName name="_xlnm.Print_Titles" localSheetId="1">'BL T'!$3:$7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75" l="1"/>
  <c r="C6" i="75"/>
  <c r="B6" i="75"/>
</calcChain>
</file>

<file path=xl/sharedStrings.xml><?xml version="1.0" encoding="utf-8"?>
<sst xmlns="http://schemas.openxmlformats.org/spreadsheetml/2006/main" count="34" uniqueCount="30">
  <si>
    <t>15. Tổng mức bán lẻ hàng hóa và doanh thu dịch vụ tiêu dùng tháng 6 và 6 tháng đầu năm 2026</t>
  </si>
  <si>
    <t>Đơn vị tính: Triệu đồng</t>
  </si>
  <si>
    <t>Thực hiện
tháng 5
năm 2026</t>
  </si>
  <si>
    <t>Ước tính
tháng 6
năm 2026</t>
  </si>
  <si>
    <t>Ước tính 6 tháng
năm 2026</t>
  </si>
  <si>
    <t>Tháng 6/2026 so với tháng 6/2025 (%)</t>
  </si>
  <si>
    <t>6 tháng
đầu năm 2026
 so với cùng kỳ
(%)</t>
  </si>
  <si>
    <t>Tổng số</t>
  </si>
  <si>
    <t>Bán lẻ hàng hóa</t>
  </si>
  <si>
    <t>Dịch vụ lưu trú</t>
  </si>
  <si>
    <t>Dịch vụ ăn uống</t>
  </si>
  <si>
    <t>Dịch vụ lữ hành và hoạt động hỗ trợ du lịch</t>
  </si>
  <si>
    <t>Dịch vụ khác</t>
  </si>
  <si>
    <t>16. Doanh thu bán lẻ hàng hóa tháng 6 và 6 tháng đầu năm 2026</t>
  </si>
  <si>
    <t>Ước tính 6
tháng đầu
năm 2026</t>
  </si>
  <si>
    <t>Tháng 6/2026 so với cùng kỳ năm trước (%)</t>
  </si>
  <si>
    <t>6 tháng
đầu năm 2026
 so với cùng kỳ năm trước
(%)</t>
  </si>
  <si>
    <t>Phân theo nhóm ngành hàng</t>
  </si>
  <si>
    <t>1. Lương thực, thực phẩm</t>
  </si>
  <si>
    <t>2. Hàng may mặc</t>
  </si>
  <si>
    <t>3. Đồ dùng, dụng cụ, trang thiết bị gia đình</t>
  </si>
  <si>
    <t>4. Vật phẩm văn hóa, giáo dục</t>
  </si>
  <si>
    <t>5. Gỗ và vật liệu xây dựng</t>
  </si>
  <si>
    <t>6. Ô tô con (dưới 9 chỗ ngồi)</t>
  </si>
  <si>
    <t>7. Phương tiện đi lại (trừ ô tô, kể cả phụ tùng)</t>
  </si>
  <si>
    <t>8. Xăng, dầu các loại</t>
  </si>
  <si>
    <t>9. Nhiên liệu khác (trừ xăng, dầu)</t>
  </si>
  <si>
    <t>10. Đá quý, kim loại quý và sản phẩm</t>
  </si>
  <si>
    <t>11. Hàng hóa khác</t>
  </si>
  <si>
    <t>12. Sửa chữa xe có động cơ, mô tô, xe máy 
     và xe có động cơ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</si>
</sst>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5" formatCode="_-* #,##0\ _P_t_s_-;\-* #,##0\ _P_t_s_-;_-* &quot;-&quot;\ _P_t_s_-;_-@_-"/>
    <numFmt numFmtId="166" formatCode="_-* #,##0.00\ _₫_-;\-* #,##0.00\ _₫_-;_-* &quot;-&quot;??\ _₫_-;_-@_-"/>
    <numFmt numFmtId="167" formatCode="_(* #,##0_);_(* \(#,##0\);_(* &quot;-&quot;??_);_(@_)"/>
    <numFmt numFmtId="168" formatCode="_(* #,##0.0_);_(* \(#,##0.0\);_(* &quot;-&quot;??_);_(@_)"/>
    <numFmt numFmtId="169" formatCode="_(* #,##0.0_);_(* \(#,##0.0\);_(* &quot;-&quot;?_);_(@_)"/>
    <numFmt numFmtId="170" formatCode="_(* #,##0.00_);_(* \(#,##0.00\);_(* &quot;&quot;&quot;&quot;\-&quot;&quot;&quot;&quot;_);_(@_)"/>
    <numFmt numFmtId="171" formatCode="_(* #,##0_);_(* \(#,##0\);_(* &quot;&quot;&quot;&quot;\-&quot;&quot;&quot;&quot;_);_(@_)"/>
  </numFmts>
  <fonts count="21">
    <font>
      <sz val="10"/>
      <name val="Arial"/>
      <charset val="134"/>
    </font>
    <font>
      <sz val="12"/>
      <name val="Times New Roman"/>
      <charset val="134"/>
    </font>
    <font>
      <sz val="10"/>
      <color theme="1"/>
      <name val="Times New Roman"/>
      <charset val="134"/>
    </font>
    <font>
      <sz val="10"/>
      <name val="Times New Roman"/>
      <charset val="134"/>
    </font>
    <font>
      <b/>
      <sz val="12"/>
      <name val="Times New Roman"/>
      <charset val="134"/>
    </font>
    <font>
      <i/>
      <sz val="10"/>
      <color theme="1"/>
      <name val="Times New Roman"/>
      <charset val="134"/>
    </font>
    <font>
      <b/>
      <sz val="10"/>
      <name val="Times New Roman"/>
      <charset val="134"/>
    </font>
    <font>
      <b/>
      <sz val="12"/>
      <color theme="1"/>
      <name val="Times New Roman"/>
      <charset val="134"/>
    </font>
    <font>
      <i/>
      <sz val="10"/>
      <name val="Times New Roman"/>
      <charset val="134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sz val="11"/>
      <name val="Times New Roman"/>
      <charset val="134"/>
    </font>
    <font>
      <b/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1"/>
      <color theme="1"/>
      <name val="Calibri"/>
      <charset val="134"/>
      <scheme val="minor"/>
    </font>
    <font>
      <sz val="12"/>
      <name val=".VnTime"/>
      <charset val="134"/>
    </font>
    <font>
      <sz val="8"/>
      <name val="MS Sans Serif"/>
      <charset val="134"/>
    </font>
    <font>
      <sz val="10"/>
      <name val=".VnArial"/>
      <charset val="134"/>
    </font>
    <font>
      <sz val="13"/>
      <color theme="1"/>
      <name val=".VnTime"/>
      <charset val="134"/>
    </font>
    <font>
      <sz val="11"/>
      <color rgb="FF000000"/>
      <name val="Calibri"/>
      <charset val="134"/>
    </font>
    <font>
      <sz val="1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7">
    <xf numFmtId="0" fontId="0" fillId="0" borderId="0"/>
    <xf numFmtId="43" fontId="20" fillId="0" borderId="0" applyFont="0" applyFill="0" applyBorder="0" applyAlignment="0" applyProtection="0"/>
    <xf numFmtId="0" fontId="14" fillId="0" borderId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15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16" fillId="0" borderId="0" applyAlignment="0">
      <alignment vertical="top" wrapText="1"/>
      <protection locked="0"/>
    </xf>
    <xf numFmtId="0" fontId="20" fillId="0" borderId="0"/>
    <xf numFmtId="41" fontId="17" fillId="0" borderId="0"/>
    <xf numFmtId="0" fontId="20" fillId="0" borderId="0"/>
    <xf numFmtId="0" fontId="20" fillId="0" borderId="0"/>
    <xf numFmtId="0" fontId="18" fillId="0" borderId="0"/>
    <xf numFmtId="0" fontId="19" fillId="0" borderId="0"/>
    <xf numFmtId="0" fontId="20" fillId="0" borderId="0"/>
    <xf numFmtId="0" fontId="14" fillId="0" borderId="0"/>
  </cellStyleXfs>
  <cellXfs count="54">
    <xf numFmtId="0" fontId="0" fillId="0" borderId="0" xfId="0"/>
    <xf numFmtId="0" fontId="1" fillId="0" borderId="0" xfId="0" applyFont="1" applyAlignment="1">
      <alignment vertical="center"/>
    </xf>
    <xf numFmtId="0" fontId="2" fillId="0" borderId="0" xfId="11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167" fontId="3" fillId="0" borderId="0" xfId="1" applyNumberFormat="1" applyFont="1" applyAlignment="1">
      <alignment vertical="center"/>
    </xf>
    <xf numFmtId="0" fontId="5" fillId="0" borderId="0" xfId="0" applyFont="1" applyAlignment="1">
      <alignment horizontal="right" vertical="center"/>
    </xf>
    <xf numFmtId="167" fontId="6" fillId="0" borderId="1" xfId="1" applyNumberFormat="1" applyFont="1" applyBorder="1" applyAlignment="1">
      <alignment horizontal="center" vertical="center"/>
    </xf>
    <xf numFmtId="167" fontId="3" fillId="0" borderId="2" xfId="1" applyNumberFormat="1" applyFont="1" applyBorder="1" applyAlignment="1">
      <alignment horizontal="center" vertical="top" wrapText="1"/>
    </xf>
    <xf numFmtId="168" fontId="3" fillId="0" borderId="2" xfId="1" applyNumberFormat="1" applyFont="1" applyBorder="1" applyAlignment="1">
      <alignment horizontal="center" vertical="top" wrapText="1"/>
    </xf>
    <xf numFmtId="0" fontId="6" fillId="0" borderId="0" xfId="0" applyFont="1" applyAlignment="1">
      <alignment horizontal="left" vertical="center"/>
    </xf>
    <xf numFmtId="3" fontId="7" fillId="0" borderId="0" xfId="16" applyNumberFormat="1" applyFont="1"/>
    <xf numFmtId="2" fontId="7" fillId="0" borderId="0" xfId="16" applyNumberFormat="1" applyFont="1"/>
    <xf numFmtId="3" fontId="6" fillId="0" borderId="0" xfId="1" applyNumberFormat="1" applyFont="1" applyFill="1" applyBorder="1" applyAlignment="1">
      <alignment horizontal="left" vertical="center" indent="1"/>
    </xf>
    <xf numFmtId="4" fontId="6" fillId="0" borderId="0" xfId="1" applyNumberFormat="1" applyFont="1" applyFill="1" applyBorder="1" applyAlignment="1">
      <alignment horizontal="left" vertical="center" indent="1"/>
    </xf>
    <xf numFmtId="2" fontId="6" fillId="0" borderId="0" xfId="0" applyNumberFormat="1" applyFont="1" applyAlignment="1">
      <alignment vertical="center"/>
    </xf>
    <xf numFmtId="169" fontId="3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4" fontId="9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3" fontId="10" fillId="0" borderId="0" xfId="16" applyNumberFormat="1" applyFont="1" applyAlignment="1">
      <alignment horizontal="right" vertical="center" wrapText="1"/>
    </xf>
    <xf numFmtId="3" fontId="9" fillId="0" borderId="0" xfId="16" applyNumberFormat="1" applyFont="1"/>
    <xf numFmtId="4" fontId="9" fillId="0" borderId="0" xfId="16" applyNumberFormat="1" applyFont="1"/>
    <xf numFmtId="0" fontId="3" fillId="0" borderId="0" xfId="0" applyFont="1" applyAlignment="1">
      <alignment vertical="center" wrapText="1"/>
    </xf>
    <xf numFmtId="3" fontId="9" fillId="0" borderId="0" xfId="16" applyNumberFormat="1" applyFont="1" applyAlignment="1">
      <alignment vertical="center"/>
    </xf>
    <xf numFmtId="4" fontId="9" fillId="0" borderId="0" xfId="16" applyNumberFormat="1" applyFont="1" applyAlignment="1">
      <alignment vertical="center"/>
    </xf>
    <xf numFmtId="0" fontId="2" fillId="0" borderId="3" xfId="11" applyFont="1" applyBorder="1" applyAlignment="1">
      <alignment vertical="center"/>
    </xf>
    <xf numFmtId="0" fontId="11" fillId="0" borderId="0" xfId="0" applyFont="1" applyAlignment="1">
      <alignment vertical="center"/>
    </xf>
    <xf numFmtId="167" fontId="3" fillId="0" borderId="1" xfId="1" applyNumberFormat="1" applyFont="1" applyBorder="1" applyAlignment="1">
      <alignment horizontal="center" vertical="center"/>
    </xf>
    <xf numFmtId="167" fontId="3" fillId="0" borderId="2" xfId="1" applyNumberFormat="1" applyFont="1" applyBorder="1" applyAlignment="1">
      <alignment horizontal="center" vertical="center" wrapText="1"/>
    </xf>
    <xf numFmtId="168" fontId="3" fillId="0" borderId="2" xfId="1" applyNumberFormat="1" applyFont="1" applyBorder="1" applyAlignment="1">
      <alignment horizontal="center" vertical="center" wrapText="1"/>
    </xf>
    <xf numFmtId="167" fontId="3" fillId="0" borderId="0" xfId="1" applyNumberFormat="1" applyFont="1" applyBorder="1" applyAlignment="1">
      <alignment horizontal="center" vertical="center"/>
    </xf>
    <xf numFmtId="167" fontId="3" fillId="0" borderId="0" xfId="1" applyNumberFormat="1" applyFont="1" applyBorder="1" applyAlignment="1">
      <alignment horizontal="center" vertical="center" wrapText="1"/>
    </xf>
    <xf numFmtId="168" fontId="3" fillId="0" borderId="0" xfId="1" applyNumberFormat="1" applyFont="1" applyBorder="1" applyAlignment="1">
      <alignment horizontal="center" vertical="center" wrapText="1"/>
    </xf>
    <xf numFmtId="3" fontId="12" fillId="0" borderId="0" xfId="0" applyNumberFormat="1" applyFont="1" applyAlignment="1">
      <alignment horizontal="right" vertical="center" indent="1" shrinkToFit="1"/>
    </xf>
    <xf numFmtId="2" fontId="12" fillId="0" borderId="0" xfId="16" applyNumberFormat="1" applyFont="1" applyAlignment="1">
      <alignment horizontal="center" vertical="center"/>
    </xf>
    <xf numFmtId="3" fontId="2" fillId="0" borderId="0" xfId="0" applyNumberFormat="1" applyFont="1" applyAlignment="1">
      <alignment horizontal="right" vertical="center" wrapText="1" indent="1"/>
    </xf>
    <xf numFmtId="2" fontId="2" fillId="0" borderId="0" xfId="16" applyNumberFormat="1" applyFont="1" applyAlignment="1">
      <alignment horizontal="center" vertical="center"/>
    </xf>
    <xf numFmtId="4" fontId="2" fillId="0" borderId="0" xfId="1" applyNumberFormat="1" applyFont="1" applyFill="1" applyBorder="1" applyAlignment="1">
      <alignment horizontal="center" vertical="center" wrapText="1"/>
    </xf>
    <xf numFmtId="2" fontId="11" fillId="0" borderId="0" xfId="0" applyNumberFormat="1" applyFont="1" applyAlignment="1">
      <alignment vertical="center"/>
    </xf>
    <xf numFmtId="3" fontId="13" fillId="0" borderId="0" xfId="1" applyNumberFormat="1" applyFont="1" applyFill="1" applyBorder="1" applyAlignment="1">
      <alignment horizontal="right" vertical="center" indent="1" shrinkToFit="1"/>
    </xf>
    <xf numFmtId="4" fontId="13" fillId="0" borderId="0" xfId="1" applyNumberFormat="1" applyFont="1" applyFill="1" applyBorder="1" applyAlignment="1">
      <alignment horizontal="center" vertical="center" shrinkToFit="1"/>
    </xf>
    <xf numFmtId="4" fontId="3" fillId="0" borderId="0" xfId="0" applyNumberFormat="1" applyFont="1" applyAlignment="1">
      <alignment vertical="center"/>
    </xf>
    <xf numFmtId="170" fontId="3" fillId="0" borderId="0" xfId="0" applyNumberFormat="1" applyFont="1" applyAlignment="1">
      <alignment vertical="center"/>
    </xf>
    <xf numFmtId="171" fontId="3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wrapText="1"/>
    </xf>
    <xf numFmtId="2" fontId="12" fillId="2" borderId="0" xfId="16" applyNumberFormat="1" applyFont="1" applyFill="1" applyAlignment="1">
      <alignment horizontal="center" vertical="center"/>
    </xf>
    <xf numFmtId="2" fontId="2" fillId="2" borderId="0" xfId="16" applyNumberFormat="1" applyFont="1" applyFill="1" applyAlignment="1">
      <alignment horizontal="center" vertical="center"/>
    </xf>
    <xf numFmtId="4" fontId="2" fillId="2" borderId="0" xfId="1" applyNumberFormat="1" applyFont="1" applyFill="1" applyBorder="1" applyAlignment="1">
      <alignment horizontal="center" vertical="center" wrapText="1"/>
    </xf>
    <xf numFmtId="4" fontId="13" fillId="2" borderId="0" xfId="1" applyNumberFormat="1" applyFont="1" applyFill="1" applyBorder="1" applyAlignment="1">
      <alignment horizontal="center" vertical="center" shrinkToFit="1"/>
    </xf>
    <xf numFmtId="0" fontId="2" fillId="2" borderId="3" xfId="11" applyFont="1" applyFill="1" applyBorder="1" applyAlignment="1">
      <alignment vertical="center"/>
    </xf>
    <xf numFmtId="3" fontId="12" fillId="2" borderId="0" xfId="0" applyNumberFormat="1" applyFont="1" applyFill="1" applyAlignment="1">
      <alignment horizontal="right" vertical="center" indent="1" shrinkToFit="1"/>
    </xf>
    <xf numFmtId="3" fontId="2" fillId="2" borderId="0" xfId="0" applyNumberFormat="1" applyFont="1" applyFill="1" applyAlignment="1">
      <alignment horizontal="right" vertical="center" wrapText="1" indent="1"/>
    </xf>
    <xf numFmtId="3" fontId="13" fillId="2" borderId="0" xfId="1" applyNumberFormat="1" applyFont="1" applyFill="1" applyBorder="1" applyAlignment="1">
      <alignment horizontal="right" vertical="center" indent="1" shrinkToFit="1"/>
    </xf>
  </cellXfs>
  <cellStyles count="17">
    <cellStyle name="Bình thường 2" xfId="2" xr:uid="{00000000-0005-0000-0000-000031000000}"/>
    <cellStyle name="Comma" xfId="1" builtinId="3"/>
    <cellStyle name="Comma [0] 2" xfId="3" xr:uid="{00000000-0005-0000-0000-000032000000}"/>
    <cellStyle name="Comma [0] 3" xfId="4" xr:uid="{00000000-0005-0000-0000-000033000000}"/>
    <cellStyle name="Comma 2" xfId="5" xr:uid="{00000000-0005-0000-0000-000034000000}"/>
    <cellStyle name="Comma 3" xfId="6" xr:uid="{00000000-0005-0000-0000-000035000000}"/>
    <cellStyle name="Dấu phẩy 2" xfId="7" xr:uid="{00000000-0005-0000-0000-000036000000}"/>
    <cellStyle name="Normal" xfId="0" builtinId="0"/>
    <cellStyle name="Normal 15" xfId="16" xr:uid="{00000000-0005-0000-0000-000042000000}"/>
    <cellStyle name="Normal 2" xfId="8" xr:uid="{00000000-0005-0000-0000-000037000000}"/>
    <cellStyle name="Normal 2 10" xfId="9" xr:uid="{00000000-0005-0000-0000-000038000000}"/>
    <cellStyle name="Normal 2 4" xfId="10" xr:uid="{00000000-0005-0000-0000-000039000000}"/>
    <cellStyle name="Normal 2 5" xfId="11" xr:uid="{00000000-0005-0000-0000-00003A000000}"/>
    <cellStyle name="Normal 3" xfId="12" xr:uid="{00000000-0005-0000-0000-00003B000000}"/>
    <cellStyle name="Normal 4" xfId="13" xr:uid="{00000000-0005-0000-0000-00003C000000}"/>
    <cellStyle name="Normal 5" xfId="14" xr:uid="{00000000-0005-0000-0000-00003D000000}"/>
    <cellStyle name="Normal 7 7" xfId="15" xr:uid="{00000000-0005-0000-0000-00003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zoomScale="80" zoomScaleNormal="80" workbookViewId="0">
      <selection activeCell="D6" sqref="D6"/>
    </sheetView>
  </sheetViews>
  <sheetFormatPr defaultColWidth="9.08984375" defaultRowHeight="13"/>
  <cols>
    <col min="1" max="1" width="38.36328125" style="3" customWidth="1"/>
    <col min="2" max="2" width="12.36328125" style="3" customWidth="1"/>
    <col min="3" max="3" width="12.453125" style="3" customWidth="1"/>
    <col min="4" max="4" width="12.36328125" style="3" customWidth="1"/>
    <col min="5" max="5" width="10.08984375" style="3" customWidth="1"/>
    <col min="6" max="6" width="13.54296875" style="3" customWidth="1"/>
    <col min="7" max="7" width="9.08984375" style="3"/>
    <col min="8" max="8" width="16.6328125" style="3" customWidth="1"/>
    <col min="9" max="9" width="13.08984375" style="3" customWidth="1"/>
    <col min="10" max="16384" width="9.08984375" style="3"/>
  </cols>
  <sheetData>
    <row r="1" spans="1:12" ht="33.75" customHeight="1">
      <c r="A1" s="45" t="s">
        <v>0</v>
      </c>
      <c r="B1" s="45"/>
      <c r="C1" s="45"/>
      <c r="D1" s="45"/>
      <c r="E1" s="45"/>
      <c r="F1" s="45"/>
    </row>
    <row r="2" spans="1:12" s="27" customFormat="1" ht="15.75" customHeight="1">
      <c r="A2" s="4"/>
      <c r="B2" s="4"/>
      <c r="C2" s="4"/>
      <c r="D2" s="4"/>
      <c r="E2" s="4"/>
      <c r="F2" s="4"/>
    </row>
    <row r="3" spans="1:12" s="27" customFormat="1" ht="12" customHeight="1">
      <c r="A3" s="5"/>
      <c r="B3" s="5"/>
      <c r="C3" s="5"/>
      <c r="D3" s="5"/>
      <c r="E3" s="3"/>
      <c r="F3" s="6" t="s">
        <v>1</v>
      </c>
    </row>
    <row r="4" spans="1:12" s="27" customFormat="1" ht="52">
      <c r="A4" s="28"/>
      <c r="B4" s="29" t="s">
        <v>2</v>
      </c>
      <c r="C4" s="29" t="s">
        <v>3</v>
      </c>
      <c r="D4" s="29" t="s">
        <v>4</v>
      </c>
      <c r="E4" s="30" t="s">
        <v>5</v>
      </c>
      <c r="F4" s="30" t="s">
        <v>6</v>
      </c>
    </row>
    <row r="5" spans="1:12" s="27" customFormat="1" ht="12" customHeight="1">
      <c r="A5" s="31"/>
      <c r="B5" s="32"/>
      <c r="C5" s="32"/>
      <c r="D5" s="32"/>
      <c r="E5" s="33"/>
      <c r="F5" s="33"/>
    </row>
    <row r="6" spans="1:12" s="27" customFormat="1" ht="19" customHeight="1">
      <c r="A6" s="10" t="s">
        <v>7</v>
      </c>
      <c r="B6" s="34">
        <f>B7+B8+B9+B10+B11</f>
        <v>19363946.34</v>
      </c>
      <c r="C6" s="34">
        <f>C7+C8+C9+C10+C11</f>
        <v>19510119.370000001</v>
      </c>
      <c r="D6" s="51">
        <f>D7+D8+D9+D10+D11</f>
        <v>113738513.34999999</v>
      </c>
      <c r="E6" s="35">
        <v>122.350416042983</v>
      </c>
      <c r="F6" s="46">
        <v>117.850830039573</v>
      </c>
      <c r="H6" s="36"/>
      <c r="I6" s="36"/>
    </row>
    <row r="7" spans="1:12" s="27" customFormat="1" ht="25" customHeight="1">
      <c r="A7" s="3" t="s">
        <v>8</v>
      </c>
      <c r="B7" s="36">
        <v>12910298.24</v>
      </c>
      <c r="C7" s="36">
        <v>13164915.67</v>
      </c>
      <c r="D7" s="52">
        <v>75497297.319999993</v>
      </c>
      <c r="E7" s="37">
        <v>126.25785524895601</v>
      </c>
      <c r="F7" s="47">
        <v>118.44117359720001</v>
      </c>
      <c r="H7" s="36"/>
      <c r="I7" s="36"/>
    </row>
    <row r="8" spans="1:12" s="27" customFormat="1" ht="20.149999999999999" customHeight="1">
      <c r="A8" s="3" t="s">
        <v>9</v>
      </c>
      <c r="B8" s="36">
        <v>69222.460000000006</v>
      </c>
      <c r="C8" s="36">
        <v>69972</v>
      </c>
      <c r="D8" s="52">
        <v>415634.32</v>
      </c>
      <c r="E8" s="38">
        <v>116.74733242389701</v>
      </c>
      <c r="F8" s="48">
        <v>121.324807709783</v>
      </c>
      <c r="G8" s="39"/>
      <c r="H8" s="36"/>
      <c r="I8" s="36"/>
      <c r="K8" s="39"/>
      <c r="L8" s="39"/>
    </row>
    <row r="9" spans="1:12" s="27" customFormat="1" ht="21.75" customHeight="1">
      <c r="A9" s="3" t="s">
        <v>10</v>
      </c>
      <c r="B9" s="36">
        <v>2388316.66</v>
      </c>
      <c r="C9" s="36">
        <v>2413029.9300000002</v>
      </c>
      <c r="D9" s="52">
        <v>14186952.65</v>
      </c>
      <c r="E9" s="38">
        <v>114.70571269148</v>
      </c>
      <c r="F9" s="48">
        <v>111.481187797163</v>
      </c>
      <c r="G9" s="39"/>
      <c r="H9" s="36"/>
      <c r="I9" s="36"/>
      <c r="K9" s="39"/>
      <c r="L9" s="39"/>
    </row>
    <row r="10" spans="1:12" s="27" customFormat="1" ht="21.75" customHeight="1">
      <c r="A10" s="3" t="s">
        <v>11</v>
      </c>
      <c r="B10" s="36">
        <v>19226.39</v>
      </c>
      <c r="C10" s="36">
        <v>20083.89</v>
      </c>
      <c r="D10" s="52">
        <v>113857.78</v>
      </c>
      <c r="E10" s="38">
        <v>136.90263254761399</v>
      </c>
      <c r="F10" s="48">
        <v>150.51130026664501</v>
      </c>
      <c r="G10" s="39"/>
      <c r="H10" s="36"/>
      <c r="I10" s="36"/>
      <c r="K10" s="39"/>
      <c r="L10" s="39"/>
    </row>
    <row r="11" spans="1:12" s="27" customFormat="1" ht="21.75" customHeight="1">
      <c r="A11" s="3" t="s">
        <v>12</v>
      </c>
      <c r="B11" s="40">
        <v>3976882.59</v>
      </c>
      <c r="C11" s="40">
        <v>3842117.88</v>
      </c>
      <c r="D11" s="53">
        <v>23524771.280000001</v>
      </c>
      <c r="E11" s="41">
        <v>114.167394474601</v>
      </c>
      <c r="F11" s="49">
        <v>119.877351054446</v>
      </c>
      <c r="G11" s="39"/>
      <c r="H11" s="36"/>
      <c r="I11" s="36"/>
      <c r="K11" s="39"/>
      <c r="L11" s="39"/>
    </row>
    <row r="12" spans="1:12" s="2" customFormat="1">
      <c r="A12" s="26"/>
      <c r="B12" s="26"/>
      <c r="C12" s="26"/>
      <c r="D12" s="26"/>
      <c r="E12" s="26"/>
      <c r="F12" s="50"/>
    </row>
    <row r="13" spans="1:12">
      <c r="B13" s="19"/>
      <c r="C13" s="19"/>
      <c r="D13" s="19"/>
      <c r="E13" s="42"/>
      <c r="F13" s="43"/>
    </row>
    <row r="14" spans="1:12">
      <c r="B14" s="44"/>
      <c r="C14" s="44"/>
      <c r="D14" s="44"/>
      <c r="E14" s="44"/>
      <c r="F14" s="44"/>
    </row>
    <row r="15" spans="1:12">
      <c r="B15" s="44"/>
      <c r="C15" s="44"/>
      <c r="D15" s="44"/>
    </row>
    <row r="16" spans="1:12">
      <c r="B16" s="44"/>
      <c r="C16" s="44"/>
      <c r="D16" s="44"/>
    </row>
  </sheetData>
  <mergeCells count="1">
    <mergeCell ref="A1:F1"/>
  </mergeCells>
  <printOptions horizontalCentered="1"/>
  <pageMargins left="0.59055118110236204" right="0.39370078740157499" top="0.39370078740157499" bottom="0.39370078740157499" header="0.118110236220472" footer="0.118110236220472"/>
  <pageSetup paperSize="9" scale="95" firstPageNumber="25" orientation="portrait" useFirstPageNumber="1"/>
  <headerFooter alignWithMargins="0">
    <oddHeader>&amp;C&amp;"Times New Roman,Regular"&amp;12&amp;P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8"/>
  <sheetViews>
    <sheetView zoomScale="80" zoomScaleNormal="80" workbookViewId="0">
      <selection activeCell="I17" sqref="I17"/>
    </sheetView>
  </sheetViews>
  <sheetFormatPr defaultColWidth="9.08984375" defaultRowHeight="13"/>
  <cols>
    <col min="1" max="1" width="37.90625" style="3" customWidth="1"/>
    <col min="2" max="2" width="11.453125" style="3" customWidth="1"/>
    <col min="3" max="3" width="11.54296875" style="3" customWidth="1"/>
    <col min="4" max="4" width="12.36328125" style="3" customWidth="1"/>
    <col min="5" max="5" width="11" style="3" customWidth="1"/>
    <col min="6" max="6" width="12.54296875" style="3" customWidth="1"/>
    <col min="7" max="8" width="11.54296875" style="3" customWidth="1"/>
    <col min="9" max="16384" width="9.08984375" style="3"/>
  </cols>
  <sheetData>
    <row r="1" spans="1:16" s="1" customFormat="1" ht="15.5">
      <c r="A1" s="45" t="s">
        <v>13</v>
      </c>
      <c r="B1" s="45"/>
      <c r="C1" s="45"/>
      <c r="D1" s="45"/>
      <c r="E1" s="45"/>
      <c r="F1" s="45"/>
    </row>
    <row r="2" spans="1:16">
      <c r="A2" s="5"/>
      <c r="B2" s="5"/>
      <c r="C2" s="5"/>
      <c r="D2" s="5"/>
      <c r="F2" s="6" t="s">
        <v>1</v>
      </c>
    </row>
    <row r="3" spans="1:16" ht="65">
      <c r="A3" s="7"/>
      <c r="B3" s="8" t="s">
        <v>2</v>
      </c>
      <c r="C3" s="8" t="s">
        <v>3</v>
      </c>
      <c r="D3" s="8" t="s">
        <v>14</v>
      </c>
      <c r="E3" s="9" t="s">
        <v>15</v>
      </c>
      <c r="F3" s="9" t="s">
        <v>16</v>
      </c>
    </row>
    <row r="4" spans="1:16" ht="15">
      <c r="A4" s="10" t="s">
        <v>7</v>
      </c>
      <c r="B4" s="11">
        <v>12910298.24</v>
      </c>
      <c r="C4" s="11">
        <v>13164915.67</v>
      </c>
      <c r="D4" s="11">
        <v>75497297.319999993</v>
      </c>
      <c r="E4" s="12">
        <v>126.25785524895601</v>
      </c>
      <c r="F4" s="12">
        <v>118.44117359720001</v>
      </c>
      <c r="G4" s="13"/>
      <c r="H4" s="13"/>
      <c r="I4" s="14"/>
      <c r="J4" s="14"/>
      <c r="K4" s="15"/>
      <c r="L4" s="16"/>
      <c r="M4" s="16"/>
      <c r="N4" s="16"/>
      <c r="O4" s="16"/>
      <c r="P4" s="16"/>
    </row>
    <row r="5" spans="1:16" ht="15.5">
      <c r="A5" s="17" t="s">
        <v>17</v>
      </c>
      <c r="B5" s="1"/>
      <c r="C5" s="1"/>
      <c r="D5" s="1"/>
      <c r="E5" s="18"/>
      <c r="F5" s="1"/>
      <c r="G5" s="19"/>
      <c r="H5" s="19"/>
      <c r="I5" s="19"/>
      <c r="J5" s="19"/>
      <c r="K5" s="19"/>
      <c r="L5" s="16"/>
      <c r="M5" s="16"/>
      <c r="N5" s="16"/>
      <c r="O5" s="16"/>
      <c r="P5" s="16"/>
    </row>
    <row r="6" spans="1:16" ht="15.5">
      <c r="A6" s="3" t="s">
        <v>18</v>
      </c>
      <c r="B6" s="20">
        <v>4466475.74</v>
      </c>
      <c r="C6" s="20">
        <v>4596937.33</v>
      </c>
      <c r="D6" s="21">
        <v>26352765.600000001</v>
      </c>
      <c r="E6" s="22">
        <v>125.227386490798</v>
      </c>
      <c r="F6" s="22">
        <v>116.02928891315101</v>
      </c>
      <c r="G6" s="16"/>
      <c r="H6" s="16"/>
      <c r="L6" s="16"/>
      <c r="M6" s="16"/>
      <c r="N6" s="16"/>
      <c r="O6" s="16"/>
      <c r="P6" s="16"/>
    </row>
    <row r="7" spans="1:16" ht="15.5">
      <c r="A7" s="3" t="s">
        <v>19</v>
      </c>
      <c r="B7" s="20">
        <v>442095.87</v>
      </c>
      <c r="C7" s="20">
        <v>449165.41</v>
      </c>
      <c r="D7" s="21">
        <v>2825944.7</v>
      </c>
      <c r="E7" s="22">
        <v>103.422569799781</v>
      </c>
      <c r="F7" s="22">
        <v>104.91563149833701</v>
      </c>
      <c r="G7" s="16"/>
      <c r="H7" s="16"/>
      <c r="L7" s="16"/>
      <c r="M7" s="16"/>
      <c r="N7" s="16"/>
      <c r="O7" s="16"/>
      <c r="P7" s="16"/>
    </row>
    <row r="8" spans="1:16" ht="15.5">
      <c r="A8" s="3" t="s">
        <v>20</v>
      </c>
      <c r="B8" s="20">
        <v>1449985.18</v>
      </c>
      <c r="C8" s="20">
        <v>1465797.61</v>
      </c>
      <c r="D8" s="21">
        <v>8579214.5399999991</v>
      </c>
      <c r="E8" s="22">
        <v>122.219832797526</v>
      </c>
      <c r="F8" s="22">
        <v>118.32785105241101</v>
      </c>
      <c r="G8" s="16"/>
      <c r="H8" s="16"/>
      <c r="L8" s="16"/>
      <c r="M8" s="16"/>
      <c r="N8" s="16"/>
      <c r="O8" s="16"/>
      <c r="P8" s="16"/>
    </row>
    <row r="9" spans="1:16" ht="15.5">
      <c r="A9" s="3" t="s">
        <v>21</v>
      </c>
      <c r="B9" s="20">
        <v>99475.5</v>
      </c>
      <c r="C9" s="20">
        <v>98818.59</v>
      </c>
      <c r="D9" s="21">
        <v>599155.39</v>
      </c>
      <c r="E9" s="22">
        <v>119.877449579968</v>
      </c>
      <c r="F9" s="22">
        <v>123.893870216967</v>
      </c>
      <c r="G9" s="16"/>
      <c r="H9" s="16"/>
      <c r="L9" s="16"/>
      <c r="M9" s="16"/>
      <c r="N9" s="16"/>
      <c r="O9" s="16"/>
      <c r="P9" s="16"/>
    </row>
    <row r="10" spans="1:16" ht="15.5">
      <c r="A10" s="3" t="s">
        <v>22</v>
      </c>
      <c r="B10" s="20">
        <v>1682730.7</v>
      </c>
      <c r="C10" s="20">
        <v>1705056.45</v>
      </c>
      <c r="D10" s="21">
        <v>9740636.6799999997</v>
      </c>
      <c r="E10" s="22">
        <v>135.81667535227399</v>
      </c>
      <c r="F10" s="22">
        <v>134.545275712642</v>
      </c>
      <c r="G10" s="16"/>
      <c r="H10" s="16"/>
      <c r="L10" s="16"/>
      <c r="M10" s="16"/>
      <c r="N10" s="16"/>
      <c r="O10" s="16"/>
      <c r="P10" s="16"/>
    </row>
    <row r="11" spans="1:16" ht="15.5">
      <c r="A11" s="3" t="s">
        <v>23</v>
      </c>
      <c r="B11" s="20">
        <v>259432.09</v>
      </c>
      <c r="C11" s="20">
        <v>259631.7</v>
      </c>
      <c r="D11" s="21">
        <v>1474314.61</v>
      </c>
      <c r="E11" s="22">
        <v>116.768788653295</v>
      </c>
      <c r="F11" s="22">
        <v>111.105143310047</v>
      </c>
      <c r="G11" s="16"/>
      <c r="H11" s="16"/>
      <c r="L11" s="16"/>
      <c r="M11" s="16"/>
      <c r="N11" s="16"/>
      <c r="O11" s="16"/>
      <c r="P11" s="16"/>
    </row>
    <row r="12" spans="1:16" ht="15.5">
      <c r="A12" s="3" t="s">
        <v>24</v>
      </c>
      <c r="B12" s="20">
        <v>603028.93999999994</v>
      </c>
      <c r="C12" s="20">
        <v>610265.03</v>
      </c>
      <c r="D12" s="21">
        <v>3433489.46</v>
      </c>
      <c r="E12" s="22">
        <v>118.68563116183699</v>
      </c>
      <c r="F12" s="22">
        <v>109.948210951387</v>
      </c>
      <c r="G12" s="16"/>
      <c r="H12" s="16"/>
      <c r="L12" s="16"/>
      <c r="M12" s="16"/>
      <c r="N12" s="16"/>
      <c r="O12" s="16"/>
      <c r="P12" s="16"/>
    </row>
    <row r="13" spans="1:16" ht="15.5">
      <c r="A13" s="3" t="s">
        <v>25</v>
      </c>
      <c r="B13" s="20">
        <v>2075095.74</v>
      </c>
      <c r="C13" s="20">
        <v>2123565.88</v>
      </c>
      <c r="D13" s="21">
        <v>11823558.15</v>
      </c>
      <c r="E13" s="22">
        <v>141.425949043071</v>
      </c>
      <c r="F13" s="22">
        <v>126.312624730967</v>
      </c>
      <c r="G13" s="16"/>
      <c r="H13" s="16"/>
      <c r="L13" s="16"/>
      <c r="M13" s="16"/>
      <c r="N13" s="16"/>
      <c r="O13" s="16"/>
      <c r="P13" s="16"/>
    </row>
    <row r="14" spans="1:16" ht="15.5">
      <c r="A14" s="3" t="s">
        <v>26</v>
      </c>
      <c r="B14" s="20">
        <v>221503.94</v>
      </c>
      <c r="C14" s="20">
        <v>224459.58</v>
      </c>
      <c r="D14" s="21">
        <v>1253749.25</v>
      </c>
      <c r="E14" s="22">
        <v>122.90886837386201</v>
      </c>
      <c r="F14" s="22">
        <v>112.06211195202501</v>
      </c>
      <c r="G14" s="16"/>
      <c r="H14" s="16"/>
      <c r="L14" s="16"/>
      <c r="M14" s="16"/>
      <c r="N14" s="16"/>
      <c r="O14" s="16"/>
      <c r="P14" s="16"/>
    </row>
    <row r="15" spans="1:16" ht="15.5">
      <c r="A15" s="3" t="s">
        <v>27</v>
      </c>
      <c r="B15" s="20">
        <v>998079.09</v>
      </c>
      <c r="C15" s="20">
        <v>1005010.42</v>
      </c>
      <c r="D15" s="21">
        <v>5849751.4900000002</v>
      </c>
      <c r="E15" s="22">
        <v>114.157784573181</v>
      </c>
      <c r="F15" s="22">
        <v>106.859627511921</v>
      </c>
      <c r="G15" s="16"/>
      <c r="H15" s="16"/>
      <c r="L15" s="16"/>
      <c r="M15" s="16"/>
      <c r="N15" s="16"/>
      <c r="O15" s="16"/>
      <c r="P15" s="16"/>
    </row>
    <row r="16" spans="1:16" ht="15.5">
      <c r="A16" s="3" t="s">
        <v>28</v>
      </c>
      <c r="B16" s="20">
        <v>294020.53000000003</v>
      </c>
      <c r="C16" s="20">
        <v>297406.8</v>
      </c>
      <c r="D16" s="21">
        <v>1683720.89</v>
      </c>
      <c r="E16" s="22">
        <v>131.4498918635</v>
      </c>
      <c r="F16" s="22">
        <v>122.935384716391</v>
      </c>
      <c r="G16" s="16"/>
      <c r="H16" s="16"/>
      <c r="L16" s="16"/>
      <c r="M16" s="16"/>
      <c r="N16" s="16"/>
      <c r="O16" s="16"/>
      <c r="P16" s="16"/>
    </row>
    <row r="17" spans="1:16" ht="26">
      <c r="A17" s="23" t="s">
        <v>29</v>
      </c>
      <c r="B17" s="20">
        <v>318374.92</v>
      </c>
      <c r="C17" s="20">
        <v>328800.87</v>
      </c>
      <c r="D17" s="24">
        <v>1880996.56</v>
      </c>
      <c r="E17" s="25">
        <v>127.757754375876</v>
      </c>
      <c r="F17" s="25">
        <v>118.292911556932</v>
      </c>
      <c r="G17" s="16"/>
      <c r="H17" s="16"/>
      <c r="L17" s="16"/>
      <c r="M17" s="16"/>
      <c r="N17" s="16"/>
      <c r="O17" s="16"/>
      <c r="P17" s="16"/>
    </row>
    <row r="18" spans="1:16" s="2" customFormat="1">
      <c r="A18" s="26"/>
      <c r="B18" s="26"/>
      <c r="C18" s="26"/>
      <c r="D18" s="26"/>
      <c r="E18" s="26"/>
      <c r="F18" s="26"/>
    </row>
  </sheetData>
  <mergeCells count="1">
    <mergeCell ref="A1:F1"/>
  </mergeCells>
  <printOptions horizontalCentered="1"/>
  <pageMargins left="0.59055118110236204" right="0.39370078740157499" top="0.39370078740157499" bottom="0.39370078740157499" header="0.118110236220472" footer="0.118110236220472"/>
  <pageSetup paperSize="9" scale="95" firstPageNumber="26" orientation="portrait" useFirstPageNumber="1"/>
  <headerFooter alignWithMargins="0">
    <oddHeader>&amp;C&amp;"Times New Roman,Regular"&amp;12&amp;P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TM T</vt:lpstr>
      <vt:lpstr>BL T</vt:lpstr>
      <vt:lpstr>'BL T'!Print_Area</vt:lpstr>
      <vt:lpstr>'TM T'!Print_Area</vt:lpstr>
      <vt:lpstr>'BL 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nnvan</dc:creator>
  <cp:lastModifiedBy>Nha Ngoc</cp:lastModifiedBy>
  <cp:lastPrinted>2026-03-10T00:48:00Z</cp:lastPrinted>
  <dcterms:created xsi:type="dcterms:W3CDTF">2012-04-04T08:13:00Z</dcterms:created>
  <dcterms:modified xsi:type="dcterms:W3CDTF">2026-06-23T04:17:00Z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CCFB103EA8264CEC87FFA9D3113EE0A3_13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