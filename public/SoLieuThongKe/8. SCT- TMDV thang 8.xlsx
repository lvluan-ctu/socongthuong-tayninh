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g 8\"/>
    </mc:Choice>
  </mc:AlternateContent>
  <xr:revisionPtr revIDLastSave="0" documentId="13_ncr:1_{FD126F88-1960-4955-94FC-008695621865}" xr6:coauthVersionLast="47" xr6:coauthVersionMax="47" xr10:uidLastSave="{00000000-0000-0000-0000-000000000000}"/>
  <bookViews>
    <workbookView xWindow="0" yWindow="0" windowWidth="9600" windowHeight="10200" tabRatio="958" xr2:uid="{00000000-000D-0000-FFFF-FFFF00000000}"/>
  </bookViews>
  <sheets>
    <sheet name="Tổng mức" sheetId="75" r:id="rId1"/>
    <sheet name="DT bán lẻ" sheetId="68" r:id="rId2"/>
  </sheets>
  <definedNames>
    <definedName name="_____________________h1" hidden="1">{"'TDTGT (theo Dphuong)'!$A$4:$F$75"}</definedName>
    <definedName name="____________________h1" hidden="1">{"'TDTGT (theo Dphuong)'!$A$4:$F$75"}</definedName>
    <definedName name="_xlnm.Print_Area" localSheetId="1">'DT bán lẻ'!$A$1:$F$22</definedName>
    <definedName name="_xlnm.Print_Area" localSheetId="0">'Tổng mức'!$A$1:$F$14</definedName>
    <definedName name="_xlnm.Print_Titles" localSheetId="1">'DT bán lẻ'!$3:$7</definedName>
  </definedNames>
  <calcPr calcId="181029"/>
</workbook>
</file>

<file path=xl/calcChain.xml><?xml version="1.0" encoding="utf-8"?>
<calcChain xmlns="http://schemas.openxmlformats.org/spreadsheetml/2006/main">
  <c r="D17" i="75" l="1"/>
  <c r="D16" i="75"/>
  <c r="C16" i="75"/>
  <c r="D8" i="68"/>
  <c r="C8" i="68"/>
  <c r="B8" i="68"/>
  <c r="D8" i="75"/>
  <c r="C8" i="75"/>
  <c r="B8" i="75"/>
</calcChain>
</file>

<file path=xl/sharedStrings.xml><?xml version="1.0" encoding="utf-8"?>
<sst xmlns="http://schemas.openxmlformats.org/spreadsheetml/2006/main" count="34" uniqueCount="28">
  <si>
    <t>5. Tổng mức bán lẻ hàng hóa và doanh thu dịch vụ tiêu dùng tháng 8 năm 2026</t>
  </si>
  <si>
    <t>Đơn vị tính: Triệu đồng</t>
  </si>
  <si>
    <t>Thực hiện
tháng 7
năm 2026</t>
  </si>
  <si>
    <t>Dự tính
tháng 8
năm 2026</t>
  </si>
  <si>
    <t>Cộng dồn
từ đầu năm
đến cuối
tháng 8
năm 2026</t>
  </si>
  <si>
    <t>Tháng 8/2026 so với tháng 8/2025 (%)</t>
  </si>
  <si>
    <t>Lũy kế đến cuối tháng
8/2026
 so với cùng kỳ
(%)</t>
  </si>
  <si>
    <t>Tổng số</t>
  </si>
  <si>
    <t>Bán lẻ hàng hóa</t>
  </si>
  <si>
    <t>Dịch vụ lưu trú</t>
  </si>
  <si>
    <t>Dịch vụ ăn uống</t>
  </si>
  <si>
    <t>Dịch vụ lữ hành và hoạt động hỗ trợ du lịch</t>
  </si>
  <si>
    <t>Dịch vụ khác</t>
  </si>
  <si>
    <t>6. Doanh thu bán lẻ hàng hóa tháng 8 năm 2026</t>
  </si>
  <si>
    <t>Tháng
8/2026
so với
tháng
8/2025
(%)</t>
  </si>
  <si>
    <t>Phân theo nhóm ngành hàng</t>
  </si>
  <si>
    <t>1. Lương thực, thực phẩm</t>
  </si>
  <si>
    <t>2. Hàng may mặc</t>
  </si>
  <si>
    <t>3. Đồ dùng, dụng cụ, trang thiết bị gia đình</t>
  </si>
  <si>
    <t>4. Vật phẩm văn hóa, giáo dục</t>
  </si>
  <si>
    <t>5. Gỗ và vật liệu xây dựng</t>
  </si>
  <si>
    <t>6. Ô tô con (dưới 9 chỗ ngồi)</t>
  </si>
  <si>
    <t>7. Phương tiện đi lại (trừ ô tô, kể cả phụ tùng)</t>
  </si>
  <si>
    <t>8. Xăng, dầu các loại</t>
  </si>
  <si>
    <t>9. Nhiên liệu khác (trừ xăng, dầu)</t>
  </si>
  <si>
    <t>10. Đá quý, kim loại quý và sản phẩm</t>
  </si>
  <si>
    <t>11. Hàng hóa khác</t>
  </si>
  <si>
    <t>12. Sửa chữa xe có động cơ, mô tô, xe máy 
     và xe có động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</si>
</sst>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(* #,##0_);_(* \(#,##0\);_(* &quot;-&quot;??_);_(@_)"/>
    <numFmt numFmtId="167" formatCode="_(* #,##0.0_);_(* \(#,##0.0\);_(* &quot;-&quot;??_);_(@_)"/>
    <numFmt numFmtId="168" formatCode="_(* #,##0.0_);_(* \(#,##0.0\);_(* &quot;-&quot;?_);_(@_)"/>
    <numFmt numFmtId="169" formatCode="_(* #,##0.00_);_(* \(#,##0.00\);_(* &quot;&quot;&quot;&quot;\-&quot;&quot;&quot;&quot;_);_(@_)"/>
    <numFmt numFmtId="170" formatCode="_(* #,##0_);_(* \(#,##0\);_(* &quot;&quot;&quot;&quot;\-&quot;&quot;&quot;&quot;_);_(@_)"/>
    <numFmt numFmtId="172" formatCode="#,##0.000"/>
    <numFmt numFmtId="174" formatCode="_(* #,##0.000_);_(* \(#,##0.000\);_(* &quot;&quot;&quot;&quot;\-&quot;&quot;&quot;&quot;_);_(@_)"/>
  </numFmts>
  <fonts count="19">
    <font>
      <sz val="10"/>
      <name val="Arial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5"/>
      <name val="Times New Roman"/>
      <charset val="134"/>
    </font>
    <font>
      <i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Times New Roman"/>
      <charset val="134"/>
    </font>
    <font>
      <i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rgb="FFFF0000"/>
      <name val="Times New Roman"/>
      <charset val="134"/>
    </font>
    <font>
      <sz val="11"/>
      <color rgb="FF000000"/>
      <name val="Times New Roman"/>
      <charset val="134"/>
    </font>
    <font>
      <sz val="12"/>
      <name val=".VnTime"/>
      <charset val="134"/>
    </font>
    <font>
      <sz val="8"/>
      <name val="MS Sans Serif"/>
      <charset val="134"/>
    </font>
    <font>
      <sz val="10"/>
      <name val=".VnArial"/>
      <charset val="134"/>
    </font>
    <font>
      <sz val="13"/>
      <color theme="1"/>
      <name val=".VnTime"/>
      <charset val="134"/>
    </font>
    <font>
      <sz val="11"/>
      <color rgb="FF000000"/>
      <name val="Calibri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4" fillId="0" borderId="0" applyAlignment="0">
      <alignment vertical="top" wrapText="1"/>
      <protection locked="0"/>
    </xf>
    <xf numFmtId="41" fontId="15" fillId="0" borderId="0"/>
    <xf numFmtId="0" fontId="18" fillId="0" borderId="0"/>
    <xf numFmtId="0" fontId="18" fillId="0" borderId="0"/>
    <xf numFmtId="0" fontId="16" fillId="0" borderId="0"/>
    <xf numFmtId="0" fontId="17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8" applyFont="1" applyAlignment="1">
      <alignment vertical="center"/>
    </xf>
    <xf numFmtId="0" fontId="3" fillId="0" borderId="0" xfId="0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6" fillId="0" borderId="0" xfId="1" applyNumberFormat="1" applyFont="1" applyFill="1" applyBorder="1" applyAlignment="1">
      <alignment horizontal="left" vertical="center" indent="1"/>
    </xf>
    <xf numFmtId="4" fontId="7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3" fontId="8" fillId="0" borderId="0" xfId="1" applyNumberFormat="1" applyFont="1" applyFill="1" applyBorder="1" applyAlignment="1">
      <alignment horizontal="left" vertical="center" indent="1"/>
    </xf>
    <xf numFmtId="4" fontId="8" fillId="0" borderId="0" xfId="1" applyNumberFormat="1" applyFont="1" applyFill="1" applyBorder="1" applyAlignment="1">
      <alignment horizontal="left" vertical="center" indent="1"/>
    </xf>
    <xf numFmtId="2" fontId="8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vertical="center" wrapText="1"/>
    </xf>
    <xf numFmtId="0" fontId="2" fillId="0" borderId="2" xfId="8" applyFont="1" applyBorder="1" applyAlignment="1">
      <alignment vertical="center"/>
    </xf>
    <xf numFmtId="0" fontId="11" fillId="0" borderId="0" xfId="10" applyFont="1" applyAlignment="1">
      <alignment horizontal="left" vertical="center"/>
    </xf>
    <xf numFmtId="3" fontId="7" fillId="0" borderId="0" xfId="0" applyNumberFormat="1" applyFont="1" applyAlignment="1">
      <alignment horizontal="right" vertical="center" indent="1" shrinkToFit="1"/>
    </xf>
    <xf numFmtId="2" fontId="7" fillId="0" borderId="0" xfId="0" applyNumberFormat="1" applyFont="1" applyAlignment="1">
      <alignment horizontal="right" vertical="center" indent="1" shrinkToFit="1"/>
    </xf>
    <xf numFmtId="2" fontId="1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 wrapText="1" indent="1"/>
    </xf>
    <xf numFmtId="4" fontId="10" fillId="0" borderId="0" xfId="1" applyNumberFormat="1" applyFont="1" applyFill="1" applyBorder="1" applyAlignment="1">
      <alignment horizontal="right" vertical="center" wrapText="1" indent="1"/>
    </xf>
    <xf numFmtId="3" fontId="12" fillId="0" borderId="0" xfId="1" applyNumberFormat="1" applyFont="1" applyFill="1" applyBorder="1" applyAlignment="1">
      <alignment horizontal="right" vertical="center" indent="1" shrinkToFit="1"/>
    </xf>
    <xf numFmtId="4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" fillId="0" borderId="1" xfId="1" applyNumberFormat="1" applyFont="1" applyBorder="1" applyAlignment="1">
      <alignment horizontal="center" vertical="center"/>
    </xf>
    <xf numFmtId="166" fontId="1" fillId="0" borderId="0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 vertical="center" wrapText="1"/>
    </xf>
    <xf numFmtId="166" fontId="1" fillId="0" borderId="2" xfId="1" applyNumberFormat="1" applyFont="1" applyBorder="1" applyAlignment="1">
      <alignment horizontal="center" vertical="center" wrapText="1"/>
    </xf>
    <xf numFmtId="167" fontId="1" fillId="0" borderId="1" xfId="1" applyNumberFormat="1" applyFont="1" applyBorder="1" applyAlignment="1">
      <alignment horizontal="center" vertical="center" wrapText="1"/>
    </xf>
    <xf numFmtId="167" fontId="1" fillId="0" borderId="0" xfId="1" applyNumberFormat="1" applyFont="1" applyBorder="1" applyAlignment="1">
      <alignment horizontal="center" vertical="center" wrapText="1"/>
    </xf>
    <xf numFmtId="167" fontId="1" fillId="0" borderId="2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center" vertical="center"/>
    </xf>
    <xf numFmtId="4" fontId="12" fillId="0" borderId="0" xfId="1" applyNumberFormat="1" applyFont="1" applyFill="1" applyBorder="1" applyAlignment="1">
      <alignment horizontal="right" vertical="center" indent="1" shrinkToFit="1"/>
    </xf>
    <xf numFmtId="172" fontId="12" fillId="0" borderId="0" xfId="1" applyNumberFormat="1" applyFont="1" applyFill="1" applyBorder="1" applyAlignment="1">
      <alignment horizontal="right" vertical="center" indent="1" shrinkToFit="1"/>
    </xf>
    <xf numFmtId="174" fontId="3" fillId="0" borderId="0" xfId="0" applyNumberFormat="1" applyFont="1" applyAlignment="1">
      <alignment vertical="center"/>
    </xf>
  </cellXfs>
  <cellStyles count="12">
    <cellStyle name="Comma" xfId="1" builtinId="3"/>
    <cellStyle name="Comma [0] 2" xfId="2" xr:uid="{00000000-0005-0000-0000-000031000000}"/>
    <cellStyle name="Comma [0] 3" xfId="3" xr:uid="{00000000-0005-0000-0000-000032000000}"/>
    <cellStyle name="Comma 2" xfId="4" xr:uid="{00000000-0005-0000-0000-000033000000}"/>
    <cellStyle name="Comma 3" xfId="5" xr:uid="{00000000-0005-0000-0000-000034000000}"/>
    <cellStyle name="Normal" xfId="0" builtinId="0"/>
    <cellStyle name="Normal 2" xfId="6" xr:uid="{00000000-0005-0000-0000-000035000000}"/>
    <cellStyle name="Normal 2 4" xfId="7" xr:uid="{00000000-0005-0000-0000-000036000000}"/>
    <cellStyle name="Normal 2 5" xfId="8" xr:uid="{00000000-0005-0000-0000-000037000000}"/>
    <cellStyle name="Normal 3" xfId="9" xr:uid="{00000000-0005-0000-0000-000038000000}"/>
    <cellStyle name="Normal 4" xfId="10" xr:uid="{00000000-0005-0000-0000-000039000000}"/>
    <cellStyle name="Normal 5" xfId="11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80" zoomScaleNormal="80" workbookViewId="0">
      <selection activeCell="D17" sqref="D17"/>
    </sheetView>
  </sheetViews>
  <sheetFormatPr defaultColWidth="9.08984375" defaultRowHeight="13"/>
  <cols>
    <col min="1" max="1" width="38.36328125" style="3" customWidth="1"/>
    <col min="2" max="2" width="11.90625" style="3" customWidth="1"/>
    <col min="3" max="3" width="12" style="3" customWidth="1"/>
    <col min="4" max="4" width="14.81640625" style="3" customWidth="1"/>
    <col min="5" max="5" width="10.08984375" style="3" customWidth="1"/>
    <col min="6" max="6" width="12.453125" style="3" customWidth="1"/>
    <col min="7" max="8" width="11.453125" style="3" customWidth="1"/>
    <col min="9" max="9" width="13.08984375" style="3" customWidth="1"/>
    <col min="10" max="16384" width="9.08984375" style="3"/>
  </cols>
  <sheetData>
    <row r="1" spans="1:16" ht="33.75" customHeight="1">
      <c r="A1" s="30" t="s">
        <v>0</v>
      </c>
      <c r="B1" s="30"/>
      <c r="C1" s="30"/>
      <c r="D1" s="30"/>
      <c r="E1" s="30"/>
      <c r="F1" s="30"/>
    </row>
    <row r="2" spans="1:16" s="1" customFormat="1" ht="15.75" customHeight="1">
      <c r="A2" s="4"/>
      <c r="B2" s="4"/>
      <c r="C2" s="4"/>
      <c r="D2" s="4"/>
      <c r="F2" s="5" t="s">
        <v>1</v>
      </c>
    </row>
    <row r="3" spans="1:16" s="1" customFormat="1" ht="12" customHeight="1">
      <c r="A3" s="31"/>
      <c r="B3" s="33" t="s">
        <v>2</v>
      </c>
      <c r="C3" s="33" t="s">
        <v>3</v>
      </c>
      <c r="D3" s="33" t="s">
        <v>4</v>
      </c>
      <c r="E3" s="36" t="s">
        <v>5</v>
      </c>
      <c r="F3" s="36" t="s">
        <v>6</v>
      </c>
    </row>
    <row r="4" spans="1:16" s="1" customFormat="1" ht="12" customHeight="1">
      <c r="A4" s="32"/>
      <c r="B4" s="34"/>
      <c r="C4" s="34"/>
      <c r="D4" s="34"/>
      <c r="E4" s="37"/>
      <c r="F4" s="37"/>
    </row>
    <row r="5" spans="1:16" s="1" customFormat="1" ht="12" customHeight="1">
      <c r="A5" s="32"/>
      <c r="B5" s="34"/>
      <c r="C5" s="34"/>
      <c r="D5" s="34"/>
      <c r="E5" s="37"/>
      <c r="F5" s="37"/>
    </row>
    <row r="6" spans="1:16" s="1" customFormat="1" ht="12" customHeight="1">
      <c r="A6" s="32"/>
      <c r="B6" s="34"/>
      <c r="C6" s="34"/>
      <c r="D6" s="34"/>
      <c r="E6" s="37"/>
      <c r="F6" s="37"/>
    </row>
    <row r="7" spans="1:16" s="1" customFormat="1" ht="42" customHeight="1">
      <c r="A7" s="32"/>
      <c r="B7" s="35"/>
      <c r="C7" s="35"/>
      <c r="D7" s="35"/>
      <c r="E7" s="38"/>
      <c r="F7" s="38"/>
    </row>
    <row r="8" spans="1:16" s="1" customFormat="1" ht="20.149999999999999" customHeight="1">
      <c r="A8" s="6" t="s">
        <v>7</v>
      </c>
      <c r="B8" s="21">
        <f>B9+B10+B11+B12+B13</f>
        <v>20012454.18</v>
      </c>
      <c r="C8" s="21">
        <f>C9+C10+C11+C12+C13</f>
        <v>20150332.809999999</v>
      </c>
      <c r="D8" s="21">
        <f>D9+D10+D11+D12+D13</f>
        <v>153937977.33000001</v>
      </c>
      <c r="E8" s="22">
        <v>120.206195787507</v>
      </c>
      <c r="F8" s="22">
        <v>118.994352272979</v>
      </c>
      <c r="G8" s="23"/>
      <c r="H8" s="23"/>
      <c r="I8" s="23"/>
      <c r="K8" s="23"/>
      <c r="L8" s="23"/>
      <c r="M8" s="23"/>
      <c r="N8" s="23"/>
      <c r="O8" s="23"/>
      <c r="P8" s="23"/>
    </row>
    <row r="9" spans="1:16" s="1" customFormat="1" ht="21.75" customHeight="1">
      <c r="A9" s="1" t="s">
        <v>8</v>
      </c>
      <c r="B9" s="24">
        <v>13399670.32</v>
      </c>
      <c r="C9" s="24">
        <v>13558532.779999999</v>
      </c>
      <c r="D9" s="24">
        <v>102445388.2</v>
      </c>
      <c r="E9" s="25">
        <v>124.136410505135</v>
      </c>
      <c r="F9" s="25">
        <v>120.49211252340299</v>
      </c>
      <c r="G9" s="23"/>
      <c r="H9" s="23"/>
      <c r="I9" s="23"/>
      <c r="K9" s="23"/>
      <c r="L9" s="23"/>
      <c r="M9" s="23"/>
      <c r="N9" s="23"/>
      <c r="O9" s="23"/>
      <c r="P9" s="23"/>
    </row>
    <row r="10" spans="1:16" s="1" customFormat="1" ht="21.75" customHeight="1">
      <c r="A10" s="1" t="s">
        <v>9</v>
      </c>
      <c r="B10" s="24">
        <v>70142.210000000006</v>
      </c>
      <c r="C10" s="24">
        <v>70009</v>
      </c>
      <c r="D10" s="24">
        <v>555478.19999999995</v>
      </c>
      <c r="E10" s="25">
        <v>113.180905796445</v>
      </c>
      <c r="F10" s="25">
        <v>119.45599732855401</v>
      </c>
      <c r="G10" s="23"/>
      <c r="H10" s="23"/>
      <c r="I10" s="23"/>
      <c r="K10" s="23"/>
      <c r="L10" s="23"/>
      <c r="M10" s="23"/>
      <c r="N10" s="23"/>
      <c r="O10" s="23"/>
      <c r="P10" s="23"/>
    </row>
    <row r="11" spans="1:16" s="1" customFormat="1" ht="21.75" customHeight="1">
      <c r="A11" s="1" t="s">
        <v>10</v>
      </c>
      <c r="B11" s="24">
        <v>2429578.4</v>
      </c>
      <c r="C11" s="24">
        <v>2424023.75</v>
      </c>
      <c r="D11" s="24">
        <v>19043398.75</v>
      </c>
      <c r="E11" s="25">
        <v>113.807487206666</v>
      </c>
      <c r="F11" s="25">
        <v>112.22092784905</v>
      </c>
      <c r="G11" s="23"/>
      <c r="H11" s="23"/>
      <c r="I11" s="23"/>
      <c r="K11" s="23"/>
      <c r="L11" s="23"/>
      <c r="M11" s="23"/>
      <c r="N11" s="23"/>
      <c r="O11" s="23"/>
      <c r="P11" s="23"/>
    </row>
    <row r="12" spans="1:16" s="1" customFormat="1" ht="20.25" customHeight="1">
      <c r="A12" s="1" t="s">
        <v>11</v>
      </c>
      <c r="B12" s="24">
        <v>20275.68</v>
      </c>
      <c r="C12" s="24">
        <v>20083.849999999999</v>
      </c>
      <c r="D12" s="24">
        <v>154296.29</v>
      </c>
      <c r="E12" s="25">
        <v>126.16854721021799</v>
      </c>
      <c r="F12" s="25">
        <v>144.017219385315</v>
      </c>
      <c r="G12" s="23"/>
      <c r="H12" s="23"/>
      <c r="I12" s="23"/>
      <c r="K12" s="23"/>
      <c r="L12" s="23"/>
      <c r="M12" s="23"/>
      <c r="N12" s="23"/>
      <c r="O12" s="23"/>
      <c r="P12" s="23"/>
    </row>
    <row r="13" spans="1:16" s="1" customFormat="1" ht="20.25" customHeight="1">
      <c r="A13" s="1" t="s">
        <v>12</v>
      </c>
      <c r="B13" s="26">
        <v>4092787.57</v>
      </c>
      <c r="C13" s="26">
        <v>4077683.43</v>
      </c>
      <c r="D13" s="26">
        <v>31739415.890000001</v>
      </c>
      <c r="E13" s="25">
        <v>112.235569713008</v>
      </c>
      <c r="F13" s="25">
        <v>118.42360965424</v>
      </c>
      <c r="G13" s="23"/>
      <c r="H13" s="23"/>
      <c r="I13" s="23"/>
      <c r="K13" s="23"/>
      <c r="L13" s="23"/>
      <c r="M13" s="23"/>
      <c r="N13" s="23"/>
      <c r="O13" s="23"/>
      <c r="P13" s="23"/>
    </row>
    <row r="14" spans="1:16" s="2" customFormat="1">
      <c r="A14" s="19"/>
      <c r="B14" s="19"/>
      <c r="C14" s="19"/>
      <c r="D14" s="19"/>
      <c r="E14" s="19"/>
      <c r="F14" s="19"/>
    </row>
    <row r="15" spans="1:16">
      <c r="B15" s="16"/>
      <c r="C15" s="16"/>
      <c r="D15" s="16"/>
      <c r="E15" s="27"/>
      <c r="F15" s="28"/>
      <c r="G15" s="27"/>
    </row>
    <row r="16" spans="1:16" ht="15">
      <c r="A16" s="20"/>
      <c r="B16" s="26"/>
      <c r="C16" s="42">
        <f>C8/B8</f>
        <v>1.0068896412583817</v>
      </c>
      <c r="D16" s="41">
        <f>C16*100</f>
        <v>100.68896412583817</v>
      </c>
      <c r="G16" s="27"/>
    </row>
    <row r="17" spans="1:7" ht="15">
      <c r="A17" s="20"/>
      <c r="B17" s="29"/>
      <c r="C17" s="29"/>
      <c r="D17" s="43">
        <f>D8/288880000</f>
        <v>0.53287862548463039</v>
      </c>
      <c r="E17" s="29"/>
      <c r="F17" s="29"/>
      <c r="G17" s="27"/>
    </row>
    <row r="18" spans="1:7">
      <c r="B18" s="29"/>
      <c r="C18" s="29"/>
      <c r="D18" s="29"/>
      <c r="E18" s="29"/>
      <c r="F18" s="29"/>
      <c r="G18" s="27"/>
    </row>
    <row r="19" spans="1:7">
      <c r="B19" s="29"/>
      <c r="C19" s="29"/>
      <c r="D19" s="29"/>
      <c r="E19" s="29"/>
      <c r="F19" s="29"/>
      <c r="G19" s="27"/>
    </row>
    <row r="20" spans="1:7">
      <c r="B20" s="29"/>
      <c r="C20" s="29"/>
      <c r="D20" s="29"/>
      <c r="G20" s="27"/>
    </row>
    <row r="21" spans="1:7">
      <c r="B21" s="29"/>
      <c r="C21" s="29"/>
      <c r="D21" s="29"/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2" orientation="portrait" useFirstPageNumber="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>
      <selection activeCell="J13" sqref="J13"/>
    </sheetView>
  </sheetViews>
  <sheetFormatPr defaultColWidth="9.08984375" defaultRowHeight="13"/>
  <cols>
    <col min="1" max="1" width="40.6328125" style="3" customWidth="1"/>
    <col min="2" max="2" width="12.90625" style="3" customWidth="1"/>
    <col min="3" max="3" width="12" style="3" customWidth="1"/>
    <col min="4" max="4" width="14.36328125" style="3" customWidth="1"/>
    <col min="5" max="5" width="13.08984375" style="3" customWidth="1"/>
    <col min="6" max="6" width="13.90625" style="3" customWidth="1"/>
    <col min="7" max="7" width="11.453125" style="3" customWidth="1"/>
    <col min="8" max="8" width="12.453125" style="3" customWidth="1"/>
    <col min="9" max="16384" width="9.08984375" style="3"/>
  </cols>
  <sheetData>
    <row r="1" spans="1:17" ht="36.75" customHeight="1">
      <c r="A1" s="30" t="s">
        <v>13</v>
      </c>
      <c r="B1" s="30"/>
      <c r="C1" s="30"/>
      <c r="D1" s="30"/>
      <c r="E1" s="30"/>
      <c r="F1" s="30"/>
    </row>
    <row r="2" spans="1:17" s="1" customFormat="1" ht="15.75" customHeight="1">
      <c r="A2" s="4"/>
      <c r="B2" s="4"/>
      <c r="C2" s="4"/>
      <c r="D2" s="4"/>
      <c r="F2" s="5" t="s">
        <v>1</v>
      </c>
    </row>
    <row r="3" spans="1:17" s="1" customFormat="1" ht="17.25" customHeight="1">
      <c r="A3" s="39"/>
      <c r="B3" s="33" t="s">
        <v>2</v>
      </c>
      <c r="C3" s="33" t="s">
        <v>3</v>
      </c>
      <c r="D3" s="33" t="s">
        <v>4</v>
      </c>
      <c r="E3" s="36" t="s">
        <v>14</v>
      </c>
      <c r="F3" s="36" t="s">
        <v>6</v>
      </c>
    </row>
    <row r="4" spans="1:17" s="1" customFormat="1" ht="17.25" customHeight="1">
      <c r="A4" s="40"/>
      <c r="B4" s="34"/>
      <c r="C4" s="34"/>
      <c r="D4" s="34"/>
      <c r="E4" s="37"/>
      <c r="F4" s="37"/>
    </row>
    <row r="5" spans="1:17" s="1" customFormat="1" ht="17.25" customHeight="1">
      <c r="A5" s="40"/>
      <c r="B5" s="34"/>
      <c r="C5" s="34"/>
      <c r="D5" s="34"/>
      <c r="E5" s="37"/>
      <c r="F5" s="37"/>
    </row>
    <row r="6" spans="1:17" s="1" customFormat="1" ht="17.25" customHeight="1">
      <c r="A6" s="40"/>
      <c r="B6" s="34"/>
      <c r="C6" s="34"/>
      <c r="D6" s="34"/>
      <c r="E6" s="37"/>
      <c r="F6" s="37"/>
    </row>
    <row r="7" spans="1:17" s="1" customFormat="1" ht="27" customHeight="1">
      <c r="A7" s="40"/>
      <c r="B7" s="35"/>
      <c r="C7" s="35"/>
      <c r="D7" s="35"/>
      <c r="E7" s="38"/>
      <c r="F7" s="38"/>
    </row>
    <row r="8" spans="1:17" ht="20.25" customHeight="1">
      <c r="A8" s="6" t="s">
        <v>7</v>
      </c>
      <c r="B8" s="7">
        <f>SUM(B10:B21)</f>
        <v>13399670.32</v>
      </c>
      <c r="C8" s="7">
        <f>SUM(C10:C21)</f>
        <v>13558532.779999999</v>
      </c>
      <c r="D8" s="7">
        <f>SUM(D10:D21)</f>
        <v>102445388.2</v>
      </c>
      <c r="E8" s="8">
        <v>124.136410505135</v>
      </c>
      <c r="F8" s="9">
        <v>120.49211252340299</v>
      </c>
      <c r="G8" s="10"/>
      <c r="H8" s="10"/>
      <c r="I8" s="11"/>
      <c r="J8" s="11"/>
      <c r="K8" s="12"/>
      <c r="L8" s="13"/>
      <c r="M8" s="13"/>
      <c r="N8" s="13"/>
      <c r="O8" s="13"/>
      <c r="P8" s="13"/>
      <c r="Q8" s="13"/>
    </row>
    <row r="9" spans="1:17" ht="21.75" customHeight="1">
      <c r="A9" s="14" t="s">
        <v>15</v>
      </c>
      <c r="B9" s="1"/>
      <c r="C9" s="1"/>
      <c r="D9" s="1"/>
      <c r="E9" s="15"/>
      <c r="F9" s="1"/>
      <c r="G9" s="16"/>
      <c r="H9" s="16"/>
      <c r="I9" s="16"/>
      <c r="J9" s="16"/>
      <c r="K9" s="16"/>
      <c r="L9" s="13"/>
      <c r="M9" s="13"/>
      <c r="N9" s="13"/>
      <c r="O9" s="13"/>
      <c r="P9" s="13"/>
      <c r="Q9" s="13"/>
    </row>
    <row r="10" spans="1:17" ht="20.25" customHeight="1">
      <c r="A10" s="1" t="s">
        <v>16</v>
      </c>
      <c r="B10" s="17">
        <v>4655736.9800000004</v>
      </c>
      <c r="C10" s="17">
        <v>4680812.04</v>
      </c>
      <c r="D10" s="17">
        <v>35673664.299999997</v>
      </c>
      <c r="E10" s="15">
        <v>123.163261089431</v>
      </c>
      <c r="F10" s="15">
        <v>118.318692865904</v>
      </c>
      <c r="G10" s="13"/>
      <c r="H10" s="13"/>
      <c r="L10" s="13"/>
      <c r="M10" s="13"/>
      <c r="N10" s="13"/>
      <c r="O10" s="13"/>
      <c r="P10" s="13"/>
      <c r="Q10" s="13"/>
    </row>
    <row r="11" spans="1:17" ht="20.25" customHeight="1">
      <c r="A11" s="1" t="s">
        <v>17</v>
      </c>
      <c r="B11" s="17">
        <v>444962.11</v>
      </c>
      <c r="C11" s="17">
        <v>457237.24</v>
      </c>
      <c r="D11" s="17">
        <v>3724823.14</v>
      </c>
      <c r="E11" s="15">
        <v>100.536573554632</v>
      </c>
      <c r="F11" s="15">
        <v>104.301666862058</v>
      </c>
      <c r="G11" s="13"/>
      <c r="H11" s="13"/>
      <c r="L11" s="13"/>
      <c r="M11" s="13"/>
      <c r="N11" s="13"/>
      <c r="O11" s="13"/>
      <c r="P11" s="13"/>
      <c r="Q11" s="13"/>
    </row>
    <row r="12" spans="1:17" ht="20.25" customHeight="1">
      <c r="A12" s="1" t="s">
        <v>18</v>
      </c>
      <c r="B12" s="17">
        <v>1470052.8</v>
      </c>
      <c r="C12" s="17">
        <v>1490405.73</v>
      </c>
      <c r="D12" s="17">
        <v>11537962.050000001</v>
      </c>
      <c r="E12" s="15">
        <v>118.747634607444</v>
      </c>
      <c r="F12" s="15">
        <v>119.18296425292699</v>
      </c>
      <c r="G12" s="13"/>
      <c r="H12" s="13"/>
      <c r="L12" s="13"/>
      <c r="M12" s="13"/>
      <c r="N12" s="13"/>
      <c r="O12" s="13"/>
      <c r="P12" s="13"/>
      <c r="Q12" s="13"/>
    </row>
    <row r="13" spans="1:17" ht="20.25" customHeight="1">
      <c r="A13" s="1" t="s">
        <v>19</v>
      </c>
      <c r="B13" s="17">
        <v>101244.63</v>
      </c>
      <c r="C13" s="17">
        <v>106260.74</v>
      </c>
      <c r="D13" s="17">
        <v>806875.63</v>
      </c>
      <c r="E13" s="15">
        <v>116.34651706327099</v>
      </c>
      <c r="F13" s="15">
        <v>121.91923350995999</v>
      </c>
      <c r="G13" s="13"/>
      <c r="H13" s="13"/>
      <c r="L13" s="13"/>
      <c r="M13" s="13"/>
      <c r="N13" s="13"/>
      <c r="O13" s="13"/>
      <c r="P13" s="13"/>
      <c r="Q13" s="13"/>
    </row>
    <row r="14" spans="1:17" ht="20.25" customHeight="1">
      <c r="A14" s="1" t="s">
        <v>20</v>
      </c>
      <c r="B14" s="17">
        <v>1830876.4</v>
      </c>
      <c r="C14" s="17">
        <v>1844137.58</v>
      </c>
      <c r="D14" s="17">
        <v>13424401.58</v>
      </c>
      <c r="E14" s="15">
        <v>136.086482676956</v>
      </c>
      <c r="F14" s="15">
        <v>136.00198452406099</v>
      </c>
      <c r="G14" s="13"/>
      <c r="H14" s="13"/>
      <c r="L14" s="13"/>
      <c r="M14" s="13"/>
      <c r="N14" s="13"/>
      <c r="O14" s="13"/>
      <c r="P14" s="13"/>
      <c r="Q14" s="13"/>
    </row>
    <row r="15" spans="1:17" ht="20.25" customHeight="1">
      <c r="A15" s="1" t="s">
        <v>21</v>
      </c>
      <c r="B15" s="17">
        <v>266250.98</v>
      </c>
      <c r="C15" s="17">
        <v>267446.8</v>
      </c>
      <c r="D15" s="17">
        <v>2012136.71</v>
      </c>
      <c r="E15" s="15">
        <v>125.27347839031199</v>
      </c>
      <c r="F15" s="15">
        <v>115.027578446394</v>
      </c>
      <c r="G15" s="13"/>
      <c r="H15" s="13"/>
      <c r="L15" s="13"/>
      <c r="M15" s="13"/>
      <c r="N15" s="13"/>
      <c r="O15" s="13"/>
      <c r="P15" s="13"/>
      <c r="Q15" s="13"/>
    </row>
    <row r="16" spans="1:17" ht="20.25" customHeight="1">
      <c r="A16" s="1" t="s">
        <v>22</v>
      </c>
      <c r="B16" s="17">
        <v>618899.04</v>
      </c>
      <c r="C16" s="17">
        <v>635270.93000000005</v>
      </c>
      <c r="D16" s="17">
        <v>4690892.59</v>
      </c>
      <c r="E16" s="15">
        <v>123.852999628619</v>
      </c>
      <c r="F16" s="15">
        <v>113.373888407135</v>
      </c>
      <c r="G16" s="13"/>
      <c r="H16" s="13"/>
      <c r="L16" s="13"/>
      <c r="M16" s="13"/>
      <c r="N16" s="13"/>
      <c r="O16" s="13"/>
      <c r="P16" s="13"/>
      <c r="Q16" s="13"/>
    </row>
    <row r="17" spans="1:17" ht="20.25" customHeight="1">
      <c r="A17" s="1" t="s">
        <v>23</v>
      </c>
      <c r="B17" s="17">
        <v>2177504.13</v>
      </c>
      <c r="C17" s="17">
        <v>2252329.98</v>
      </c>
      <c r="D17" s="17">
        <v>16254408.99</v>
      </c>
      <c r="E17" s="15">
        <v>136.89656309837699</v>
      </c>
      <c r="F17" s="15">
        <v>129.86483429860201</v>
      </c>
      <c r="G17" s="13"/>
      <c r="H17" s="13"/>
      <c r="L17" s="13"/>
      <c r="M17" s="13"/>
      <c r="N17" s="13"/>
      <c r="O17" s="13"/>
      <c r="P17" s="13"/>
      <c r="Q17" s="13"/>
    </row>
    <row r="18" spans="1:17" ht="20.25" customHeight="1">
      <c r="A18" s="1" t="s">
        <v>24</v>
      </c>
      <c r="B18" s="17">
        <v>236293.16</v>
      </c>
      <c r="C18" s="17">
        <v>241687.56</v>
      </c>
      <c r="D18" s="17">
        <v>1732497.54</v>
      </c>
      <c r="E18" s="15">
        <v>127.406877753003</v>
      </c>
      <c r="F18" s="15">
        <v>116.48528598808799</v>
      </c>
      <c r="G18" s="13"/>
      <c r="H18" s="13"/>
      <c r="L18" s="13"/>
      <c r="M18" s="13"/>
      <c r="N18" s="13"/>
      <c r="O18" s="13"/>
      <c r="P18" s="13"/>
      <c r="Q18" s="13"/>
    </row>
    <row r="19" spans="1:17" ht="20.25" customHeight="1">
      <c r="A19" s="1" t="s">
        <v>25</v>
      </c>
      <c r="B19" s="17">
        <v>957456.5</v>
      </c>
      <c r="C19" s="17">
        <v>938357.05</v>
      </c>
      <c r="D19" s="17">
        <v>7747854.0499999998</v>
      </c>
      <c r="E19" s="15">
        <v>104.059459484396</v>
      </c>
      <c r="F19" s="15">
        <v>106.76448163145901</v>
      </c>
      <c r="G19" s="13"/>
      <c r="H19" s="13"/>
      <c r="L19" s="13"/>
      <c r="M19" s="13"/>
      <c r="N19" s="13"/>
      <c r="O19" s="13"/>
      <c r="P19" s="13"/>
      <c r="Q19" s="13"/>
    </row>
    <row r="20" spans="1:17" ht="20.25" customHeight="1">
      <c r="A20" s="1" t="s">
        <v>26</v>
      </c>
      <c r="B20" s="17">
        <v>319686.21000000002</v>
      </c>
      <c r="C20" s="17">
        <v>316689.98</v>
      </c>
      <c r="D20" s="17">
        <v>2318703.37</v>
      </c>
      <c r="E20" s="15">
        <v>137.405051060152</v>
      </c>
      <c r="F20" s="15">
        <v>127.2370140897</v>
      </c>
      <c r="G20" s="13"/>
      <c r="H20" s="13"/>
      <c r="L20" s="13"/>
      <c r="M20" s="13"/>
      <c r="N20" s="13"/>
      <c r="O20" s="13"/>
      <c r="P20" s="13"/>
      <c r="Q20" s="13"/>
    </row>
    <row r="21" spans="1:17" ht="34.5" customHeight="1">
      <c r="A21" s="18" t="s">
        <v>27</v>
      </c>
      <c r="B21" s="17">
        <v>320707.38</v>
      </c>
      <c r="C21" s="17">
        <v>327897.15000000002</v>
      </c>
      <c r="D21" s="17">
        <v>2521168.25</v>
      </c>
      <c r="E21" s="15">
        <v>120.63105933532501</v>
      </c>
      <c r="F21" s="15">
        <v>119.06171565625399</v>
      </c>
      <c r="G21" s="13"/>
      <c r="H21" s="13"/>
      <c r="L21" s="13"/>
      <c r="M21" s="13"/>
      <c r="N21" s="13"/>
      <c r="O21" s="13"/>
      <c r="P21" s="13"/>
      <c r="Q21" s="13"/>
    </row>
    <row r="22" spans="1:17" s="2" customFormat="1" ht="5.25" customHeight="1">
      <c r="A22" s="19"/>
      <c r="B22" s="19"/>
      <c r="C22" s="19"/>
      <c r="D22" s="19"/>
      <c r="E22" s="19"/>
      <c r="F22" s="19"/>
    </row>
    <row r="24" spans="1:17" ht="15">
      <c r="A24" s="20"/>
    </row>
    <row r="25" spans="1:17" ht="15">
      <c r="A25" s="20"/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3" orientation="portrait" useFirstPageNumber="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Tổng mức</vt:lpstr>
      <vt:lpstr>DT bán lẻ</vt:lpstr>
      <vt:lpstr>'DT bán lẻ'!Print_Area</vt:lpstr>
      <vt:lpstr>'Tổng mức'!Print_Area</vt:lpstr>
      <vt:lpstr>'DT bán lẻ'!Print_Titles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Nha Ngoc</cp:lastModifiedBy>
  <cp:lastPrinted>2026-02-02T04:07:00Z</cp:lastPrinted>
  <dcterms:created xsi:type="dcterms:W3CDTF">2012-04-04T08:13:00Z</dcterms:created>
  <dcterms:modified xsi:type="dcterms:W3CDTF">2026-08-23T08:32:04Z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0E52D04B89574799B17D3BEFDA416C8B_13</vt:lpwstr>
  </property>
</Properties>
</file>